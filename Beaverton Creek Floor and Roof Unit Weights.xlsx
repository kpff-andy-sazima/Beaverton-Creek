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ffla-my.sharepoint.com/personal/andy_sazima_kpff_com/Documents/Projects/Beaverton Creek/"/>
    </mc:Choice>
  </mc:AlternateContent>
  <xr:revisionPtr revIDLastSave="2" documentId="8_{1817464F-48AB-4F5A-9E10-BDAEE0550FA2}" xr6:coauthVersionLast="47" xr6:coauthVersionMax="47" xr10:uidLastSave="{BD3B5E41-3CE8-4CEA-B7FB-59DD1C958320}"/>
  <bookViews>
    <workbookView xWindow="38290" yWindow="-110" windowWidth="19420" windowHeight="10300" xr2:uid="{C4BC4AC7-676F-493A-B346-EB7A9058A7D3}"/>
  </bookViews>
  <sheets>
    <sheet name="Floor" sheetId="1" r:id="rId1"/>
    <sheet name="Roof" sheetId="2" r:id="rId2"/>
  </sheets>
  <definedNames>
    <definedName name="_xlnm.Print_Area" localSheetId="0">Floor!$B$2:$M$64</definedName>
    <definedName name="_xlnm.Print_Area" localSheetId="1">Roof!$B$2:$M$53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2" l="1"/>
  <c r="D18" i="2"/>
  <c r="K3" i="2"/>
  <c r="D27" i="1"/>
  <c r="D17" i="1"/>
  <c r="K3" i="1" l="1"/>
</calcChain>
</file>

<file path=xl/sharedStrings.xml><?xml version="1.0" encoding="utf-8"?>
<sst xmlns="http://schemas.openxmlformats.org/spreadsheetml/2006/main" count="127" uniqueCount="61">
  <si>
    <t>Project:</t>
  </si>
  <si>
    <t>By:</t>
  </si>
  <si>
    <t>Sheet No.</t>
  </si>
  <si>
    <t>Location:</t>
  </si>
  <si>
    <t>Date:</t>
  </si>
  <si>
    <t>Client:</t>
  </si>
  <si>
    <t>Revised:</t>
  </si>
  <si>
    <t>Job No.</t>
  </si>
  <si>
    <t>QB</t>
  </si>
  <si>
    <t>Floor Unit Weights</t>
  </si>
  <si>
    <t>Name: Typical WLF Floor</t>
  </si>
  <si>
    <t>Ref. F3/A904</t>
  </si>
  <si>
    <t>Floor Finish</t>
  </si>
  <si>
    <t>Material</t>
  </si>
  <si>
    <t>Load (psf)</t>
  </si>
  <si>
    <t>Notes</t>
  </si>
  <si>
    <t>Reference</t>
  </si>
  <si>
    <t>1.25" Gypcrete Topping</t>
  </si>
  <si>
    <t>7/8" Plywood Deck</t>
  </si>
  <si>
    <t>TJI Joists</t>
  </si>
  <si>
    <t>(2) 5/8" Gyp. Board</t>
  </si>
  <si>
    <t xml:space="preserve">Misc. </t>
  </si>
  <si>
    <t>Incl. partitions</t>
  </si>
  <si>
    <t>115 pcf * 1.25in(12in/ft)</t>
  </si>
  <si>
    <t>ASCE 7-16 Table C3.3-1a</t>
  </si>
  <si>
    <t>Assumed</t>
  </si>
  <si>
    <t>0.55psf*10</t>
  </si>
  <si>
    <t>0.4psf*7</t>
  </si>
  <si>
    <t>TOTAL</t>
  </si>
  <si>
    <t>Name: Corridor</t>
  </si>
  <si>
    <t>Ref. F4/A904</t>
  </si>
  <si>
    <t>3x T&amp;G Decking</t>
  </si>
  <si>
    <t>35pcf*2.5in/(12in/ft)</t>
  </si>
  <si>
    <t>115 pcf * 1.25in/(12in/ft)</t>
  </si>
  <si>
    <t>(F5/A904 suspended ceiling sim.)</t>
  </si>
  <si>
    <t>Roof Unit Weights</t>
  </si>
  <si>
    <t>Name: Typical Roof</t>
  </si>
  <si>
    <t>Ref. R1/A500</t>
  </si>
  <si>
    <t>Membrane Roofing</t>
  </si>
  <si>
    <t>Plywood Cover Board</t>
  </si>
  <si>
    <t>0.4psf*6</t>
  </si>
  <si>
    <t>ASCE 7-16 Table C3.1-1a</t>
  </si>
  <si>
    <t>Rigid Insulation</t>
  </si>
  <si>
    <t>Plywood Deck</t>
  </si>
  <si>
    <t>3/4in board</t>
  </si>
  <si>
    <t>7/8in board</t>
  </si>
  <si>
    <t>(Roof amenity space sim.)</t>
  </si>
  <si>
    <t>Ref. R4/A500</t>
  </si>
  <si>
    <t>Pedestal Paver System</t>
  </si>
  <si>
    <t>Name: Pedestal Pavers</t>
  </si>
  <si>
    <t>Incl. Solar Roof Collateral</t>
  </si>
  <si>
    <t>GBD</t>
  </si>
  <si>
    <t>Beaverton, OR</t>
  </si>
  <si>
    <t>Use 30</t>
  </si>
  <si>
    <t>Use 35</t>
  </si>
  <si>
    <t xml:space="preserve">Beaverton Creek </t>
  </si>
  <si>
    <t>Beaverton Creek</t>
  </si>
  <si>
    <t>Roof Truss</t>
  </si>
  <si>
    <t>Use 25</t>
  </si>
  <si>
    <t>AS - Changed from 25 to 15</t>
  </si>
  <si>
    <t>AS - Changed TJI joists from 2 to Roof Truss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</si>
</sst>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5" fillId="0" borderId="4" xfId="1" applyFont="1" applyBorder="1"/>
    <xf numFmtId="0" fontId="3" fillId="0" borderId="4" xfId="1" applyFont="1" applyBorder="1"/>
    <xf numFmtId="0" fontId="3" fillId="0" borderId="10" xfId="1" applyFont="1" applyBorder="1"/>
    <xf numFmtId="0" fontId="3" fillId="0" borderId="5" xfId="1" applyFont="1" applyBorder="1"/>
    <xf numFmtId="0" fontId="5" fillId="0" borderId="5" xfId="1" applyFont="1" applyBorder="1"/>
    <xf numFmtId="0" fontId="3" fillId="0" borderId="8" xfId="1" applyFont="1" applyBorder="1"/>
    <xf numFmtId="0" fontId="6" fillId="0" borderId="4" xfId="1" applyFont="1" applyBorder="1"/>
    <xf numFmtId="0" fontId="5" fillId="0" borderId="1" xfId="1" applyFont="1" applyBorder="1"/>
    <xf numFmtId="0" fontId="3" fillId="0" borderId="6" xfId="1" applyFont="1" applyBorder="1"/>
    <xf numFmtId="0" fontId="3" fillId="0" borderId="7" xfId="1" applyFont="1" applyBorder="1"/>
    <xf numFmtId="0" fontId="5" fillId="0" borderId="6" xfId="1" applyFont="1" applyBorder="1"/>
    <xf numFmtId="0" fontId="3" fillId="0" borderId="9" xfId="1" applyFont="1" applyBorder="1"/>
    <xf numFmtId="0" fontId="7" fillId="0" borderId="2" xfId="0" applyFont="1" applyBorder="1"/>
    <xf numFmtId="0" fontId="3" fillId="0" borderId="2" xfId="0" applyFont="1" applyBorder="1"/>
    <xf numFmtId="0" fontId="8" fillId="0" borderId="0" xfId="1" applyFont="1"/>
    <xf numFmtId="0" fontId="9" fillId="0" borderId="0" xfId="1" applyFont="1"/>
    <xf numFmtId="0" fontId="3" fillId="0" borderId="0" xfId="0" applyFont="1"/>
    <xf numFmtId="0" fontId="3" fillId="0" borderId="0" xfId="3" applyNumberFormat="1" applyFont="1" applyBorder="1" applyAlignment="1"/>
    <xf numFmtId="14" fontId="5" fillId="0" borderId="4" xfId="1" applyNumberFormat="1" applyFont="1" applyBorder="1"/>
    <xf numFmtId="0" fontId="8" fillId="0" borderId="0" xfId="0" applyFont="1"/>
    <xf numFmtId="0" fontId="3" fillId="0" borderId="11" xfId="1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5" xfId="0" applyFont="1" applyBorder="1"/>
    <xf numFmtId="0" fontId="3" fillId="2" borderId="6" xfId="1" applyFont="1" applyFill="1" applyBorder="1"/>
    <xf numFmtId="0" fontId="3" fillId="2" borderId="7" xfId="1" applyFont="1" applyFill="1" applyBorder="1"/>
    <xf numFmtId="2" fontId="3" fillId="0" borderId="0" xfId="1" applyNumberFormat="1" applyFont="1" applyAlignment="1">
      <alignment wrapText="1"/>
    </xf>
    <xf numFmtId="0" fontId="10" fillId="0" borderId="0" xfId="1" applyFont="1"/>
  </cellXfs>
  <cellStyles count="4">
    <cellStyle name="Normal" xfId="0" builtinId="0"/>
    <cellStyle name="Normal 2" xfId="2" xr:uid="{D0051EA0-9A0F-4A50-91B9-A9588D0B578F}"/>
    <cellStyle name="Normal 3" xfId="1" xr:uid="{C7A3596F-D12A-43D8-B381-65FE92010543}"/>
    <cellStyle name="Percent" xfId="3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</xdr:row>
      <xdr:rowOff>22860</xdr:rowOff>
    </xdr:from>
    <xdr:to>
      <xdr:col>2</xdr:col>
      <xdr:colOff>891540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B7F15-65CA-47F6-8CCC-03FCA4F52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2400"/>
          <a:ext cx="901065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</xdr:row>
      <xdr:rowOff>22860</xdr:rowOff>
    </xdr:from>
    <xdr:to>
      <xdr:col>2</xdr:col>
      <xdr:colOff>891540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040AA-6B62-4193-AC50-0AFEEA2538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" y="156210"/>
          <a:ext cx="883920" cy="49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F3AB-7F18-49AE-A3ED-C12E02C75265}">
  <sheetPr>
    <pageSetUpPr fitToPage="1"/>
  </sheetPr>
  <dimension ref="B1:N120"/>
  <sheetViews>
    <sheetView tabSelected="1" topLeftCell="A9" zoomScale="150" zoomScaleNormal="150" zoomScaleSheetLayoutView="100" workbookViewId="0">
      <selection activeCell="D17" sqref="D17"/>
    </sheetView>
  </sheetViews>
  <sheetFormatPr defaultColWidth="9.1796875" defaultRowHeight="10.5" x14ac:dyDescent="0.25"/>
  <cols>
    <col min="1" max="1" width="3.7265625" style="1" customWidth="1"/>
    <col min="2" max="2" width="1.7265625" style="1" customWidth="1"/>
    <col min="3" max="3" width="14.81640625" style="1" customWidth="1"/>
    <col min="4" max="12" width="9.1796875" style="1" customWidth="1"/>
    <col min="13" max="13" width="1.7265625" style="1" customWidth="1"/>
    <col min="14" max="16384" width="9.1796875" style="1"/>
  </cols>
  <sheetData>
    <row r="1" spans="2:14" ht="11.15" customHeight="1" x14ac:dyDescent="0.25">
      <c r="C1" s="2"/>
      <c r="K1" s="2"/>
    </row>
    <row r="2" spans="2:14" ht="11.15" customHeight="1" x14ac:dyDescent="0.25">
      <c r="B2" s="3"/>
      <c r="C2" s="4"/>
      <c r="D2" s="4"/>
      <c r="E2" s="4"/>
      <c r="F2" s="4"/>
      <c r="G2" s="5" t="s">
        <v>0</v>
      </c>
      <c r="H2" s="6" t="s">
        <v>55</v>
      </c>
      <c r="I2" s="7"/>
      <c r="J2" s="5" t="s">
        <v>1</v>
      </c>
      <c r="K2" s="6" t="s">
        <v>8</v>
      </c>
      <c r="L2" s="3" t="s">
        <v>2</v>
      </c>
      <c r="M2" s="8"/>
    </row>
    <row r="3" spans="2:14" ht="11.15" customHeight="1" x14ac:dyDescent="0.25">
      <c r="B3" s="9"/>
      <c r="G3" s="5" t="s">
        <v>3</v>
      </c>
      <c r="H3" s="6" t="s">
        <v>52</v>
      </c>
      <c r="I3" s="7"/>
      <c r="J3" s="5" t="s">
        <v>4</v>
      </c>
      <c r="K3" s="24">
        <f ca="1">TODAY()</f>
        <v>46163</v>
      </c>
      <c r="L3" s="10"/>
      <c r="M3" s="11"/>
    </row>
    <row r="4" spans="2:14" ht="11.15" customHeight="1" x14ac:dyDescent="0.25">
      <c r="B4" s="9"/>
      <c r="G4" s="5" t="s">
        <v>5</v>
      </c>
      <c r="H4" s="6" t="s">
        <v>51</v>
      </c>
      <c r="I4" s="7"/>
      <c r="J4" s="5" t="s">
        <v>6</v>
      </c>
      <c r="K4" s="12"/>
      <c r="L4" s="13" t="s">
        <v>7</v>
      </c>
      <c r="M4" s="8"/>
    </row>
    <row r="5" spans="2:14" ht="11.15" customHeight="1" x14ac:dyDescent="0.25">
      <c r="B5" s="14"/>
      <c r="C5" s="15"/>
      <c r="D5" s="15"/>
      <c r="E5" s="15"/>
      <c r="F5" s="15"/>
      <c r="G5" s="5"/>
      <c r="H5" s="6"/>
      <c r="I5" s="7"/>
      <c r="J5" s="5" t="s">
        <v>4</v>
      </c>
      <c r="K5" s="12"/>
      <c r="L5" s="16"/>
      <c r="M5" s="17"/>
    </row>
    <row r="6" spans="2:14" ht="11.15" customHeight="1" x14ac:dyDescent="0.25">
      <c r="B6" s="3"/>
      <c r="C6" s="18"/>
      <c r="D6" s="19"/>
      <c r="E6" s="19"/>
      <c r="F6" s="19"/>
      <c r="G6" s="19"/>
      <c r="H6" s="4"/>
      <c r="I6" s="4"/>
      <c r="J6" s="4"/>
      <c r="K6" s="4"/>
      <c r="M6" s="11"/>
    </row>
    <row r="7" spans="2:14" ht="13.5" customHeight="1" x14ac:dyDescent="0.25">
      <c r="B7" s="9"/>
      <c r="C7" s="25" t="s">
        <v>9</v>
      </c>
      <c r="D7" s="22"/>
      <c r="E7" s="22"/>
      <c r="M7" s="11"/>
    </row>
    <row r="8" spans="2:14" ht="11.15" customHeight="1" x14ac:dyDescent="0.25">
      <c r="B8" s="9"/>
      <c r="C8" s="22"/>
      <c r="D8" s="22"/>
      <c r="E8" s="22"/>
      <c r="F8" s="22"/>
      <c r="M8" s="11"/>
    </row>
    <row r="9" spans="2:14" ht="11.15" customHeight="1" x14ac:dyDescent="0.25">
      <c r="B9" s="9"/>
      <c r="C9" s="28" t="s">
        <v>10</v>
      </c>
      <c r="D9" s="19"/>
      <c r="E9" s="19" t="s">
        <v>11</v>
      </c>
      <c r="F9" s="19"/>
      <c r="G9" s="4"/>
      <c r="H9" s="8"/>
      <c r="J9" s="1" t="s">
        <v>34</v>
      </c>
      <c r="M9" s="11"/>
    </row>
    <row r="10" spans="2:14" ht="11" thickBot="1" x14ac:dyDescent="0.3">
      <c r="B10" s="9"/>
      <c r="C10" s="29" t="s">
        <v>13</v>
      </c>
      <c r="D10" s="27" t="s">
        <v>14</v>
      </c>
      <c r="E10" s="27" t="s">
        <v>15</v>
      </c>
      <c r="F10" s="27"/>
      <c r="G10" s="26" t="s">
        <v>16</v>
      </c>
      <c r="H10" s="30"/>
      <c r="J10" s="1" t="s">
        <v>46</v>
      </c>
      <c r="M10" s="11"/>
      <c r="N10" s="20"/>
    </row>
    <row r="11" spans="2:14" ht="11.15" customHeight="1" thickTop="1" x14ac:dyDescent="0.25">
      <c r="B11" s="9"/>
      <c r="C11" s="31" t="s">
        <v>12</v>
      </c>
      <c r="D11" s="22">
        <v>1</v>
      </c>
      <c r="E11" s="22"/>
      <c r="F11" s="22"/>
      <c r="G11" s="1" t="s">
        <v>25</v>
      </c>
      <c r="H11" s="11"/>
      <c r="M11" s="11"/>
    </row>
    <row r="12" spans="2:14" ht="11.15" customHeight="1" x14ac:dyDescent="0.25">
      <c r="B12" s="9"/>
      <c r="C12" s="31" t="s">
        <v>17</v>
      </c>
      <c r="D12" s="22">
        <v>12</v>
      </c>
      <c r="E12" s="22" t="s">
        <v>23</v>
      </c>
      <c r="F12" s="22"/>
      <c r="H12" s="11"/>
      <c r="M12" s="11"/>
      <c r="N12" s="20"/>
    </row>
    <row r="13" spans="2:14" ht="11.15" customHeight="1" x14ac:dyDescent="0.25">
      <c r="B13" s="9"/>
      <c r="C13" s="31" t="s">
        <v>18</v>
      </c>
      <c r="D13" s="22">
        <v>2.8</v>
      </c>
      <c r="E13" s="22" t="s">
        <v>27</v>
      </c>
      <c r="F13" s="22"/>
      <c r="G13" s="1" t="s">
        <v>24</v>
      </c>
      <c r="H13" s="11"/>
      <c r="M13" s="11"/>
      <c r="N13" s="20"/>
    </row>
    <row r="14" spans="2:14" ht="11.15" customHeight="1" x14ac:dyDescent="0.25">
      <c r="B14" s="9"/>
      <c r="C14" s="9" t="s">
        <v>19</v>
      </c>
      <c r="D14" s="1">
        <v>2</v>
      </c>
      <c r="G14" s="1" t="s">
        <v>25</v>
      </c>
      <c r="H14" s="11"/>
      <c r="M14" s="11"/>
      <c r="N14" s="20"/>
    </row>
    <row r="15" spans="2:14" ht="11.15" customHeight="1" x14ac:dyDescent="0.25">
      <c r="B15" s="9"/>
      <c r="C15" s="9" t="s">
        <v>20</v>
      </c>
      <c r="D15" s="1">
        <v>5.5</v>
      </c>
      <c r="E15" s="1" t="s">
        <v>26</v>
      </c>
      <c r="G15" s="1" t="s">
        <v>24</v>
      </c>
      <c r="H15" s="11"/>
      <c r="M15" s="11"/>
      <c r="N15" s="20"/>
    </row>
    <row r="16" spans="2:14" ht="11.15" customHeight="1" x14ac:dyDescent="0.25">
      <c r="B16" s="9"/>
      <c r="C16" s="9" t="s">
        <v>21</v>
      </c>
      <c r="D16" s="1">
        <v>10</v>
      </c>
      <c r="E16" s="1" t="s">
        <v>22</v>
      </c>
      <c r="H16" s="11"/>
      <c r="M16" s="11"/>
      <c r="N16" s="20"/>
    </row>
    <row r="17" spans="2:14" ht="11.15" customHeight="1" x14ac:dyDescent="0.25">
      <c r="B17" s="9"/>
      <c r="C17" s="32" t="s">
        <v>28</v>
      </c>
      <c r="D17" s="33">
        <f>SUM(D11:D16)</f>
        <v>33.299999999999997</v>
      </c>
      <c r="E17" s="15"/>
      <c r="F17" s="15"/>
      <c r="G17" s="15"/>
      <c r="H17" s="17"/>
      <c r="I17" s="35" t="s">
        <v>54</v>
      </c>
      <c r="M17" s="11"/>
      <c r="N17" s="20"/>
    </row>
    <row r="18" spans="2:14" ht="11.15" customHeight="1" x14ac:dyDescent="0.25">
      <c r="B18" s="9"/>
      <c r="M18" s="11"/>
      <c r="N18" s="20"/>
    </row>
    <row r="19" spans="2:14" ht="11.15" customHeight="1" x14ac:dyDescent="0.25">
      <c r="B19" s="9"/>
      <c r="C19" s="28" t="s">
        <v>29</v>
      </c>
      <c r="D19" s="19"/>
      <c r="E19" s="19" t="s">
        <v>30</v>
      </c>
      <c r="F19" s="19"/>
      <c r="G19" s="4"/>
      <c r="H19" s="8"/>
      <c r="M19" s="11"/>
      <c r="N19" s="20"/>
    </row>
    <row r="20" spans="2:14" ht="11.15" customHeight="1" thickBot="1" x14ac:dyDescent="0.3">
      <c r="B20" s="9"/>
      <c r="C20" s="29" t="s">
        <v>13</v>
      </c>
      <c r="D20" s="27" t="s">
        <v>14</v>
      </c>
      <c r="E20" s="27" t="s">
        <v>15</v>
      </c>
      <c r="F20" s="27"/>
      <c r="G20" s="26" t="s">
        <v>16</v>
      </c>
      <c r="H20" s="30"/>
      <c r="M20" s="11"/>
      <c r="N20" s="20"/>
    </row>
    <row r="21" spans="2:14" ht="11.15" customHeight="1" thickTop="1" x14ac:dyDescent="0.25">
      <c r="B21" s="9"/>
      <c r="C21" s="31" t="s">
        <v>12</v>
      </c>
      <c r="D21" s="22">
        <v>1</v>
      </c>
      <c r="E21" s="22"/>
      <c r="F21" s="22"/>
      <c r="G21" s="1" t="s">
        <v>25</v>
      </c>
      <c r="H21" s="11"/>
      <c r="M21" s="11"/>
      <c r="N21" s="20"/>
    </row>
    <row r="22" spans="2:14" ht="11.15" customHeight="1" x14ac:dyDescent="0.25">
      <c r="B22" s="9"/>
      <c r="C22" s="31" t="s">
        <v>17</v>
      </c>
      <c r="D22" s="22">
        <v>12</v>
      </c>
      <c r="E22" s="22" t="s">
        <v>33</v>
      </c>
      <c r="F22" s="22"/>
      <c r="H22" s="11"/>
      <c r="M22" s="11"/>
      <c r="N22" s="20"/>
    </row>
    <row r="23" spans="2:14" ht="11.15" customHeight="1" x14ac:dyDescent="0.25">
      <c r="B23" s="9"/>
      <c r="C23" s="31" t="s">
        <v>18</v>
      </c>
      <c r="D23" s="22">
        <v>2.8</v>
      </c>
      <c r="E23" s="22" t="s">
        <v>27</v>
      </c>
      <c r="F23" s="22"/>
      <c r="G23" s="1" t="s">
        <v>24</v>
      </c>
      <c r="H23" s="11"/>
      <c r="M23" s="11"/>
      <c r="N23" s="20"/>
    </row>
    <row r="24" spans="2:14" ht="11.15" customHeight="1" x14ac:dyDescent="0.25">
      <c r="B24" s="9"/>
      <c r="C24" s="9" t="s">
        <v>31</v>
      </c>
      <c r="D24" s="1">
        <v>7.3</v>
      </c>
      <c r="E24" s="1" t="s">
        <v>32</v>
      </c>
      <c r="G24" s="1" t="s">
        <v>25</v>
      </c>
      <c r="H24" s="11"/>
      <c r="M24" s="11"/>
      <c r="N24" s="20"/>
    </row>
    <row r="25" spans="2:14" ht="11.15" customHeight="1" x14ac:dyDescent="0.25">
      <c r="B25" s="9"/>
      <c r="C25" s="9" t="s">
        <v>20</v>
      </c>
      <c r="D25" s="1">
        <v>5.5</v>
      </c>
      <c r="E25" s="1" t="s">
        <v>26</v>
      </c>
      <c r="G25" s="1" t="s">
        <v>24</v>
      </c>
      <c r="H25" s="11"/>
      <c r="M25" s="11"/>
      <c r="N25" s="20"/>
    </row>
    <row r="26" spans="2:14" ht="11.15" customHeight="1" x14ac:dyDescent="0.25">
      <c r="B26" s="9"/>
      <c r="C26" s="9" t="s">
        <v>21</v>
      </c>
      <c r="D26" s="1">
        <v>5</v>
      </c>
      <c r="E26" s="1" t="s">
        <v>22</v>
      </c>
      <c r="H26" s="11"/>
      <c r="M26" s="11"/>
      <c r="N26" s="20"/>
    </row>
    <row r="27" spans="2:14" ht="11.15" customHeight="1" x14ac:dyDescent="0.25">
      <c r="B27" s="9"/>
      <c r="C27" s="32" t="s">
        <v>28</v>
      </c>
      <c r="D27" s="33">
        <f>SUM(D21:D26)</f>
        <v>33.6</v>
      </c>
      <c r="E27" s="15"/>
      <c r="F27" s="15"/>
      <c r="G27" s="15"/>
      <c r="H27" s="17"/>
      <c r="I27" s="35" t="s">
        <v>54</v>
      </c>
      <c r="M27" s="11"/>
      <c r="N27" s="20"/>
    </row>
    <row r="28" spans="2:14" ht="11.15" customHeight="1" x14ac:dyDescent="0.25">
      <c r="B28" s="9"/>
      <c r="M28" s="11"/>
      <c r="N28" s="20"/>
    </row>
    <row r="29" spans="2:14" ht="11.15" customHeight="1" x14ac:dyDescent="0.25">
      <c r="B29" s="9"/>
      <c r="C29" s="21"/>
      <c r="L29" s="22"/>
      <c r="M29" s="11"/>
      <c r="N29" s="20"/>
    </row>
    <row r="30" spans="2:14" ht="11.15" customHeight="1" x14ac:dyDescent="0.25">
      <c r="B30" s="9"/>
      <c r="D30" s="23"/>
      <c r="L30" s="22"/>
      <c r="M30" s="11"/>
      <c r="N30" s="20"/>
    </row>
    <row r="31" spans="2:14" ht="11.15" customHeight="1" x14ac:dyDescent="0.25">
      <c r="B31" s="9"/>
      <c r="L31" s="22"/>
      <c r="M31" s="11"/>
      <c r="N31" s="20"/>
    </row>
    <row r="32" spans="2:14" ht="11.15" customHeight="1" x14ac:dyDescent="0.25">
      <c r="B32" s="9"/>
      <c r="D32" s="21"/>
      <c r="L32" s="22"/>
      <c r="M32" s="11"/>
      <c r="N32" s="20"/>
    </row>
    <row r="33" spans="2:14" ht="11.15" customHeight="1" x14ac:dyDescent="0.25">
      <c r="B33" s="9"/>
      <c r="L33" s="22"/>
      <c r="M33" s="11"/>
      <c r="N33" s="20"/>
    </row>
    <row r="34" spans="2:14" ht="11.15" customHeight="1" x14ac:dyDescent="0.25">
      <c r="B34" s="9"/>
      <c r="L34" s="22"/>
      <c r="M34" s="11"/>
      <c r="N34" s="20"/>
    </row>
    <row r="35" spans="2:14" ht="11.15" customHeight="1" x14ac:dyDescent="0.25">
      <c r="B35" s="9"/>
      <c r="L35" s="22"/>
      <c r="M35" s="11"/>
    </row>
    <row r="36" spans="2:14" ht="11.15" customHeight="1" x14ac:dyDescent="0.25">
      <c r="B36" s="9"/>
      <c r="L36" s="22"/>
      <c r="M36" s="11"/>
    </row>
    <row r="37" spans="2:14" ht="11.15" customHeight="1" x14ac:dyDescent="0.25">
      <c r="B37" s="9"/>
      <c r="L37" s="22"/>
      <c r="M37" s="11"/>
    </row>
    <row r="38" spans="2:14" ht="11.15" customHeight="1" x14ac:dyDescent="0.25">
      <c r="B38" s="9"/>
      <c r="L38" s="22"/>
      <c r="M38" s="11"/>
    </row>
    <row r="39" spans="2:14" ht="11.15" customHeight="1" x14ac:dyDescent="0.25">
      <c r="B39" s="9"/>
      <c r="L39" s="22"/>
      <c r="M39" s="11"/>
    </row>
    <row r="40" spans="2:14" ht="11.15" customHeight="1" x14ac:dyDescent="0.25">
      <c r="B40" s="9"/>
      <c r="L40" s="22"/>
      <c r="M40" s="11"/>
    </row>
    <row r="41" spans="2:14" ht="11.15" customHeight="1" x14ac:dyDescent="0.25">
      <c r="B41" s="9"/>
      <c r="L41" s="22"/>
      <c r="M41" s="11"/>
    </row>
    <row r="42" spans="2:14" ht="11.15" customHeight="1" x14ac:dyDescent="0.25">
      <c r="B42" s="9"/>
      <c r="L42" s="22"/>
      <c r="M42" s="11"/>
    </row>
    <row r="43" spans="2:14" ht="11.15" customHeight="1" x14ac:dyDescent="0.25">
      <c r="B43" s="9"/>
      <c r="L43" s="22"/>
      <c r="M43" s="11"/>
    </row>
    <row r="44" spans="2:14" ht="11.15" customHeight="1" x14ac:dyDescent="0.25">
      <c r="B44" s="9"/>
      <c r="L44" s="22"/>
      <c r="M44" s="11"/>
    </row>
    <row r="45" spans="2:14" ht="11.15" customHeight="1" x14ac:dyDescent="0.25">
      <c r="B45" s="9"/>
      <c r="L45" s="22"/>
      <c r="M45" s="11"/>
    </row>
    <row r="46" spans="2:14" ht="11.15" customHeight="1" x14ac:dyDescent="0.25">
      <c r="B46" s="9"/>
      <c r="L46" s="22"/>
      <c r="M46" s="11"/>
    </row>
    <row r="47" spans="2:14" ht="11.15" customHeight="1" x14ac:dyDescent="0.25">
      <c r="B47" s="9"/>
      <c r="L47" s="22"/>
      <c r="M47" s="11"/>
    </row>
    <row r="48" spans="2:14" ht="11.15" customHeight="1" x14ac:dyDescent="0.25">
      <c r="B48" s="9"/>
      <c r="L48" s="22"/>
      <c r="M48" s="11"/>
    </row>
    <row r="49" spans="2:13" ht="11.15" customHeight="1" x14ac:dyDescent="0.25">
      <c r="B49" s="9"/>
      <c r="L49" s="22"/>
      <c r="M49" s="11"/>
    </row>
    <row r="50" spans="2:13" ht="11.15" customHeight="1" x14ac:dyDescent="0.25">
      <c r="B50" s="9"/>
      <c r="L50" s="22"/>
      <c r="M50" s="11"/>
    </row>
    <row r="51" spans="2:13" ht="11.15" customHeight="1" x14ac:dyDescent="0.25">
      <c r="B51" s="9"/>
      <c r="L51" s="22"/>
      <c r="M51" s="11"/>
    </row>
    <row r="52" spans="2:13" ht="11.15" customHeight="1" x14ac:dyDescent="0.25">
      <c r="B52" s="9"/>
      <c r="L52" s="22"/>
      <c r="M52" s="11"/>
    </row>
    <row r="53" spans="2:13" ht="11.15" customHeight="1" x14ac:dyDescent="0.25">
      <c r="B53" s="9"/>
      <c r="M53" s="11"/>
    </row>
    <row r="54" spans="2:13" ht="11.15" customHeight="1" x14ac:dyDescent="0.25">
      <c r="B54" s="9"/>
      <c r="M54" s="11"/>
    </row>
    <row r="55" spans="2:13" ht="11.15" customHeight="1" x14ac:dyDescent="0.25">
      <c r="B55" s="9"/>
      <c r="M55" s="11"/>
    </row>
    <row r="56" spans="2:13" ht="11.15" customHeight="1" x14ac:dyDescent="0.25">
      <c r="B56" s="9"/>
      <c r="M56" s="11"/>
    </row>
    <row r="57" spans="2:13" ht="11.15" customHeight="1" x14ac:dyDescent="0.25">
      <c r="B57" s="9"/>
      <c r="M57" s="11"/>
    </row>
    <row r="58" spans="2:13" ht="11.15" customHeight="1" x14ac:dyDescent="0.25">
      <c r="B58" s="9"/>
      <c r="M58" s="11"/>
    </row>
    <row r="59" spans="2:13" ht="11.15" customHeight="1" x14ac:dyDescent="0.25">
      <c r="B59" s="9"/>
      <c r="M59" s="11"/>
    </row>
    <row r="60" spans="2:13" ht="11.15" customHeight="1" x14ac:dyDescent="0.25">
      <c r="B60" s="9"/>
      <c r="M60" s="11"/>
    </row>
    <row r="61" spans="2:13" ht="11.15" customHeight="1" x14ac:dyDescent="0.25">
      <c r="B61" s="9"/>
      <c r="M61" s="11"/>
    </row>
    <row r="62" spans="2:13" ht="11.15" customHeight="1" x14ac:dyDescent="0.25">
      <c r="B62" s="9"/>
      <c r="M62" s="11"/>
    </row>
    <row r="63" spans="2:13" ht="11.15" customHeight="1" x14ac:dyDescent="0.25">
      <c r="B63" s="9"/>
      <c r="M63" s="11"/>
    </row>
    <row r="64" spans="2:13" ht="11.15" customHeight="1" x14ac:dyDescent="0.25"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7"/>
    </row>
    <row r="65" ht="11.15" customHeight="1" x14ac:dyDescent="0.25"/>
    <row r="66" ht="11.15" customHeight="1" x14ac:dyDescent="0.25"/>
    <row r="67" ht="11.15" customHeight="1" x14ac:dyDescent="0.25"/>
    <row r="68" ht="11.15" customHeight="1" x14ac:dyDescent="0.25"/>
    <row r="69" ht="11.15" customHeight="1" x14ac:dyDescent="0.25"/>
    <row r="70" ht="11.15" customHeight="1" x14ac:dyDescent="0.25"/>
    <row r="71" ht="11.15" customHeight="1" x14ac:dyDescent="0.25"/>
    <row r="72" ht="11.15" customHeight="1" x14ac:dyDescent="0.25"/>
    <row r="73" ht="11.15" customHeight="1" x14ac:dyDescent="0.25"/>
    <row r="74" ht="11.15" customHeight="1" x14ac:dyDescent="0.25"/>
    <row r="75" ht="11.15" customHeight="1" x14ac:dyDescent="0.25"/>
    <row r="76" ht="11.15" customHeight="1" x14ac:dyDescent="0.25"/>
    <row r="77" ht="11.15" customHeight="1" x14ac:dyDescent="0.25"/>
    <row r="78" ht="11.15" customHeight="1" x14ac:dyDescent="0.25"/>
    <row r="79" ht="11.15" customHeight="1" x14ac:dyDescent="0.25"/>
    <row r="80" ht="11.15" customHeight="1" x14ac:dyDescent="0.25"/>
    <row r="81" ht="11.15" customHeight="1" x14ac:dyDescent="0.25"/>
    <row r="82" ht="11.15" customHeight="1" x14ac:dyDescent="0.25"/>
    <row r="83" ht="11.15" customHeight="1" x14ac:dyDescent="0.25"/>
    <row r="84" ht="11.15" customHeight="1" x14ac:dyDescent="0.25"/>
    <row r="85" ht="11.15" customHeight="1" x14ac:dyDescent="0.25"/>
    <row r="86" ht="11.15" customHeight="1" x14ac:dyDescent="0.25"/>
    <row r="87" ht="11.15" customHeight="1" x14ac:dyDescent="0.25"/>
    <row r="88" ht="11.15" customHeight="1" x14ac:dyDescent="0.25"/>
    <row r="89" ht="11.15" customHeight="1" x14ac:dyDescent="0.25"/>
    <row r="90" ht="11.15" customHeight="1" x14ac:dyDescent="0.25"/>
    <row r="91" ht="11.15" customHeight="1" x14ac:dyDescent="0.25"/>
    <row r="92" ht="11.15" customHeight="1" x14ac:dyDescent="0.25"/>
    <row r="93" ht="11.15" customHeight="1" x14ac:dyDescent="0.25"/>
    <row r="94" ht="11.15" customHeight="1" x14ac:dyDescent="0.25"/>
    <row r="95" ht="11.15" customHeight="1" x14ac:dyDescent="0.25"/>
    <row r="96" ht="11.15" customHeight="1" x14ac:dyDescent="0.25"/>
    <row r="97" ht="11.15" customHeight="1" x14ac:dyDescent="0.25"/>
    <row r="98" ht="11.15" customHeight="1" x14ac:dyDescent="0.25"/>
    <row r="99" ht="11.15" customHeight="1" x14ac:dyDescent="0.25"/>
    <row r="100" ht="11.15" customHeight="1" x14ac:dyDescent="0.25"/>
    <row r="101" ht="11.15" customHeight="1" x14ac:dyDescent="0.25"/>
    <row r="102" ht="11.15" customHeight="1" x14ac:dyDescent="0.25"/>
    <row r="103" ht="11.15" customHeight="1" x14ac:dyDescent="0.25"/>
    <row r="104" ht="11.15" customHeight="1" x14ac:dyDescent="0.25"/>
    <row r="105" ht="11.15" customHeight="1" x14ac:dyDescent="0.25"/>
    <row r="106" ht="11.15" customHeight="1" x14ac:dyDescent="0.25"/>
    <row r="107" ht="11.15" customHeight="1" x14ac:dyDescent="0.25"/>
    <row r="108" ht="11.15" customHeight="1" x14ac:dyDescent="0.25"/>
    <row r="109" ht="11.15" customHeight="1" x14ac:dyDescent="0.25"/>
    <row r="110" ht="11.15" customHeight="1" x14ac:dyDescent="0.25"/>
    <row r="111" ht="11.15" customHeight="1" x14ac:dyDescent="0.25"/>
    <row r="112" ht="11.15" customHeight="1" x14ac:dyDescent="0.25"/>
    <row r="113" ht="11.15" customHeight="1" x14ac:dyDescent="0.25"/>
    <row r="114" ht="11.15" customHeight="1" x14ac:dyDescent="0.25"/>
    <row r="115" ht="11.15" customHeight="1" x14ac:dyDescent="0.25"/>
    <row r="116" ht="11.15" customHeight="1" x14ac:dyDescent="0.25"/>
    <row r="117" ht="11.15" customHeight="1" x14ac:dyDescent="0.25"/>
    <row r="118" ht="11.15" customHeight="1" x14ac:dyDescent="0.25"/>
    <row r="119" ht="11.15" customHeight="1" x14ac:dyDescent="0.25"/>
    <row r="120" ht="11.15" customHeight="1" x14ac:dyDescent="0.25"/>
  </sheetData>
  <sheetProtection formatCells="0" insertHyperlinks="0" sort="0" autoFilter="0" pivotTables="0"/>
  <conditionalFormatting sqref="L1">
    <cfRule type="cellIs" dxfId="13" priority="26" operator="equal">
      <formula>"CALC REQ'D"</formula>
    </cfRule>
    <cfRule type="cellIs" dxfId="12" priority="27" operator="equal">
      <formula>"DONE"</formula>
    </cfRule>
    <cfRule type="cellIs" dxfId="11" priority="28" operator="equal">
      <formula>"""NOT-DONE"""</formula>
    </cfRule>
    <cfRule type="containsText" dxfId="10" priority="29" operator="containsText" text="&quot;NOT-DONE&quot;">
      <formula>NOT(ISERROR(SEARCH("""NOT-DONE""",L1)))</formula>
    </cfRule>
    <cfRule type="cellIs" dxfId="9" priority="30" operator="equal">
      <formula>"FORMAT"</formula>
    </cfRule>
    <cfRule type="containsText" dxfId="8" priority="31" operator="containsText" text="DONE">
      <formula>NOT(ISERROR(SEARCH("DONE",L1)))</formula>
    </cfRule>
    <cfRule type="containsText" dxfId="7" priority="32" operator="containsText" text="NOT-DONE">
      <formula>NOT(ISERROR(SEARCH("NOT-DONE",L1)))</formula>
    </cfRule>
  </conditionalFormatting>
  <dataValidations disablePrompts="1" count="1">
    <dataValidation type="list" allowBlank="1" showInputMessage="1" showErrorMessage="1" sqref="L1" xr:uid="{2B547C22-CD41-44CC-891D-57E1B424BBC8}">
      <formula1>"DONE,FORMAT,CALC REQ'D"</formula1>
    </dataValidation>
  </dataValidations>
  <pageMargins left="0.7" right="0.6" top="0.65" bottom="0.45" header="0" footer="0"/>
  <pageSetup scale="9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F3E2-CCAE-4641-9E46-59244419C8B9}">
  <sheetPr>
    <pageSetUpPr fitToPage="1"/>
  </sheetPr>
  <dimension ref="B1:N109"/>
  <sheetViews>
    <sheetView topLeftCell="A9" zoomScale="145" zoomScaleNormal="145" zoomScaleSheetLayoutView="100" workbookViewId="0">
      <selection activeCell="N17" sqref="N17"/>
    </sheetView>
  </sheetViews>
  <sheetFormatPr defaultColWidth="9.1796875" defaultRowHeight="10.5" x14ac:dyDescent="0.25"/>
  <cols>
    <col min="1" max="1" width="3.7265625" style="1" customWidth="1"/>
    <col min="2" max="2" width="1.7265625" style="1" customWidth="1"/>
    <col min="3" max="3" width="14.81640625" style="1" customWidth="1"/>
    <col min="4" max="12" width="9.1796875" style="1" customWidth="1"/>
    <col min="13" max="13" width="1.7265625" style="1" customWidth="1"/>
    <col min="14" max="16384" width="9.1796875" style="1"/>
  </cols>
  <sheetData>
    <row r="1" spans="2:14" ht="11.15" customHeight="1" x14ac:dyDescent="0.25">
      <c r="C1" s="2"/>
      <c r="K1" s="2"/>
    </row>
    <row r="2" spans="2:14" ht="11.15" customHeight="1" x14ac:dyDescent="0.25">
      <c r="B2" s="3"/>
      <c r="C2" s="4"/>
      <c r="D2" s="4"/>
      <c r="E2" s="4"/>
      <c r="F2" s="4"/>
      <c r="G2" s="5" t="s">
        <v>0</v>
      </c>
      <c r="H2" s="6" t="s">
        <v>56</v>
      </c>
      <c r="I2" s="7"/>
      <c r="J2" s="5" t="s">
        <v>1</v>
      </c>
      <c r="K2" s="6" t="s">
        <v>8</v>
      </c>
      <c r="L2" s="3" t="s">
        <v>2</v>
      </c>
      <c r="M2" s="8"/>
    </row>
    <row r="3" spans="2:14" ht="11.15" customHeight="1" x14ac:dyDescent="0.25">
      <c r="B3" s="9"/>
      <c r="G3" s="5" t="s">
        <v>3</v>
      </c>
      <c r="H3" s="6" t="s">
        <v>52</v>
      </c>
      <c r="I3" s="7"/>
      <c r="J3" s="5" t="s">
        <v>4</v>
      </c>
      <c r="K3" s="24">
        <f ca="1">TODAY()</f>
        <v>46163</v>
      </c>
      <c r="L3" s="10"/>
      <c r="M3" s="11"/>
    </row>
    <row r="4" spans="2:14" ht="11.15" customHeight="1" x14ac:dyDescent="0.25">
      <c r="B4" s="9"/>
      <c r="G4" s="5" t="s">
        <v>5</v>
      </c>
      <c r="H4" s="6" t="s">
        <v>51</v>
      </c>
      <c r="I4" s="7"/>
      <c r="J4" s="5" t="s">
        <v>6</v>
      </c>
      <c r="K4" s="12"/>
      <c r="L4" s="13" t="s">
        <v>7</v>
      </c>
      <c r="M4" s="8"/>
    </row>
    <row r="5" spans="2:14" ht="11.15" customHeight="1" x14ac:dyDescent="0.25">
      <c r="B5" s="14"/>
      <c r="C5" s="15"/>
      <c r="D5" s="15"/>
      <c r="E5" s="15"/>
      <c r="F5" s="15"/>
      <c r="G5" s="5"/>
      <c r="H5" s="6"/>
      <c r="I5" s="7"/>
      <c r="J5" s="5" t="s">
        <v>4</v>
      </c>
      <c r="K5" s="12"/>
      <c r="L5" s="16"/>
      <c r="M5" s="17"/>
    </row>
    <row r="6" spans="2:14" ht="11.15" customHeight="1" x14ac:dyDescent="0.25">
      <c r="B6" s="3"/>
      <c r="C6" s="18"/>
      <c r="D6" s="19"/>
      <c r="E6" s="19"/>
      <c r="F6" s="19"/>
      <c r="G6" s="19"/>
      <c r="H6" s="4"/>
      <c r="I6" s="4"/>
      <c r="J6" s="4"/>
      <c r="K6" s="4"/>
      <c r="M6" s="11"/>
    </row>
    <row r="7" spans="2:14" ht="13.5" customHeight="1" x14ac:dyDescent="0.25">
      <c r="B7" s="9"/>
      <c r="C7" s="25" t="s">
        <v>35</v>
      </c>
      <c r="D7" s="22"/>
      <c r="E7" s="22"/>
      <c r="M7" s="11"/>
    </row>
    <row r="8" spans="2:14" ht="11.15" customHeight="1" x14ac:dyDescent="0.25">
      <c r="B8" s="9"/>
      <c r="C8" s="22"/>
      <c r="D8" s="22"/>
      <c r="E8" s="22"/>
      <c r="F8" s="22"/>
      <c r="M8" s="11"/>
    </row>
    <row r="9" spans="2:14" ht="11.15" customHeight="1" x14ac:dyDescent="0.25">
      <c r="B9" s="9"/>
      <c r="C9" s="28" t="s">
        <v>36</v>
      </c>
      <c r="D9" s="19"/>
      <c r="E9" s="19" t="s">
        <v>37</v>
      </c>
      <c r="F9" s="19"/>
      <c r="G9" s="4"/>
      <c r="H9" s="8"/>
      <c r="M9" s="11"/>
    </row>
    <row r="10" spans="2:14" ht="11" thickBot="1" x14ac:dyDescent="0.3">
      <c r="B10" s="9"/>
      <c r="C10" s="29" t="s">
        <v>13</v>
      </c>
      <c r="D10" s="27" t="s">
        <v>14</v>
      </c>
      <c r="E10" s="27" t="s">
        <v>15</v>
      </c>
      <c r="F10" s="27"/>
      <c r="G10" s="26" t="s">
        <v>16</v>
      </c>
      <c r="H10" s="30"/>
      <c r="M10" s="11"/>
      <c r="N10" s="20"/>
    </row>
    <row r="11" spans="2:14" ht="11.15" customHeight="1" thickTop="1" x14ac:dyDescent="0.25">
      <c r="B11" s="9"/>
      <c r="C11" s="31" t="s">
        <v>38</v>
      </c>
      <c r="D11" s="22">
        <v>1</v>
      </c>
      <c r="E11" s="22"/>
      <c r="F11" s="22"/>
      <c r="H11" s="11"/>
      <c r="M11" s="11"/>
    </row>
    <row r="12" spans="2:14" ht="11.15" customHeight="1" x14ac:dyDescent="0.25">
      <c r="B12" s="9"/>
      <c r="C12" s="31" t="s">
        <v>39</v>
      </c>
      <c r="D12" s="22">
        <v>2.4</v>
      </c>
      <c r="E12" s="22" t="s">
        <v>40</v>
      </c>
      <c r="F12" s="22" t="s">
        <v>44</v>
      </c>
      <c r="G12" s="1" t="s">
        <v>41</v>
      </c>
      <c r="H12" s="11"/>
      <c r="M12" s="11"/>
      <c r="N12" s="20"/>
    </row>
    <row r="13" spans="2:14" ht="11.15" customHeight="1" x14ac:dyDescent="0.25">
      <c r="B13" s="9"/>
      <c r="C13" s="31" t="s">
        <v>42</v>
      </c>
      <c r="D13" s="22">
        <v>1</v>
      </c>
      <c r="E13" s="22"/>
      <c r="F13" s="22"/>
      <c r="H13" s="11"/>
      <c r="M13" s="11"/>
      <c r="N13" s="20"/>
    </row>
    <row r="14" spans="2:14" ht="11.15" customHeight="1" x14ac:dyDescent="0.25">
      <c r="B14" s="9"/>
      <c r="C14" s="9" t="s">
        <v>43</v>
      </c>
      <c r="D14" s="1">
        <v>2.8</v>
      </c>
      <c r="E14" s="1" t="s">
        <v>27</v>
      </c>
      <c r="F14" s="1" t="s">
        <v>45</v>
      </c>
      <c r="G14" s="1" t="s">
        <v>41</v>
      </c>
      <c r="H14" s="11"/>
      <c r="M14" s="11"/>
      <c r="N14" s="20"/>
    </row>
    <row r="15" spans="2:14" ht="11.15" customHeight="1" x14ac:dyDescent="0.25">
      <c r="B15" s="9"/>
      <c r="C15" s="9" t="s">
        <v>57</v>
      </c>
      <c r="D15" s="1">
        <v>5</v>
      </c>
      <c r="G15" s="1" t="s">
        <v>25</v>
      </c>
      <c r="H15" s="11"/>
      <c r="M15" s="11"/>
      <c r="N15" s="20" t="s">
        <v>60</v>
      </c>
    </row>
    <row r="16" spans="2:14" ht="11.15" customHeight="1" x14ac:dyDescent="0.25">
      <c r="B16" s="9"/>
      <c r="C16" s="9" t="s">
        <v>20</v>
      </c>
      <c r="D16" s="1">
        <v>5.5</v>
      </c>
      <c r="E16" s="1" t="s">
        <v>26</v>
      </c>
      <c r="G16" s="1" t="s">
        <v>41</v>
      </c>
      <c r="H16" s="11"/>
      <c r="M16" s="11"/>
      <c r="N16" s="20"/>
    </row>
    <row r="17" spans="2:14" ht="11.15" customHeight="1" x14ac:dyDescent="0.25">
      <c r="B17" s="9"/>
      <c r="C17" s="9" t="s">
        <v>21</v>
      </c>
      <c r="D17" s="1">
        <v>6</v>
      </c>
      <c r="G17" s="1" t="s">
        <v>50</v>
      </c>
      <c r="H17" s="11"/>
      <c r="M17" s="11"/>
      <c r="N17" s="20"/>
    </row>
    <row r="18" spans="2:14" ht="11.15" customHeight="1" x14ac:dyDescent="0.25">
      <c r="B18" s="9"/>
      <c r="C18" s="32" t="s">
        <v>28</v>
      </c>
      <c r="D18" s="33">
        <f>SUM(D11:D17)</f>
        <v>23.7</v>
      </c>
      <c r="E18" s="15"/>
      <c r="F18" s="15"/>
      <c r="G18" s="15"/>
      <c r="H18" s="17"/>
      <c r="I18" s="35" t="s">
        <v>58</v>
      </c>
      <c r="M18" s="11"/>
      <c r="N18" s="20"/>
    </row>
    <row r="19" spans="2:14" ht="11.15" customHeight="1" x14ac:dyDescent="0.25">
      <c r="B19" s="9"/>
      <c r="C19" s="22"/>
      <c r="D19" s="22"/>
      <c r="E19" s="22"/>
      <c r="F19" s="22"/>
      <c r="M19" s="11"/>
      <c r="N19" s="20"/>
    </row>
    <row r="20" spans="2:14" ht="11.15" customHeight="1" x14ac:dyDescent="0.25">
      <c r="B20" s="9"/>
      <c r="C20" s="28" t="s">
        <v>49</v>
      </c>
      <c r="D20" s="19"/>
      <c r="E20" s="19" t="s">
        <v>47</v>
      </c>
      <c r="F20" s="19"/>
      <c r="G20" s="4"/>
      <c r="H20" s="8"/>
      <c r="M20" s="11"/>
      <c r="N20" s="20"/>
    </row>
    <row r="21" spans="2:14" ht="11.15" customHeight="1" thickBot="1" x14ac:dyDescent="0.3">
      <c r="B21" s="9"/>
      <c r="C21" s="29" t="s">
        <v>13</v>
      </c>
      <c r="D21" s="27" t="s">
        <v>14</v>
      </c>
      <c r="E21" s="27" t="s">
        <v>15</v>
      </c>
      <c r="F21" s="27"/>
      <c r="G21" s="26" t="s">
        <v>16</v>
      </c>
      <c r="H21" s="30"/>
      <c r="M21" s="11"/>
      <c r="N21" s="20"/>
    </row>
    <row r="22" spans="2:14" ht="11.15" customHeight="1" thickTop="1" x14ac:dyDescent="0.25">
      <c r="B22" s="9"/>
      <c r="C22" s="9" t="s">
        <v>48</v>
      </c>
      <c r="D22" s="1">
        <v>15</v>
      </c>
      <c r="G22" s="34"/>
      <c r="H22" s="11"/>
      <c r="M22" s="11"/>
      <c r="N22" s="20" t="s">
        <v>59</v>
      </c>
    </row>
    <row r="23" spans="2:14" ht="11.15" customHeight="1" x14ac:dyDescent="0.25">
      <c r="B23" s="9"/>
      <c r="C23" s="31" t="s">
        <v>38</v>
      </c>
      <c r="D23" s="22">
        <v>1</v>
      </c>
      <c r="E23" s="22"/>
      <c r="F23" s="22"/>
      <c r="H23" s="11"/>
      <c r="M23" s="11"/>
      <c r="N23" s="20"/>
    </row>
    <row r="24" spans="2:14" ht="11.15" customHeight="1" x14ac:dyDescent="0.25">
      <c r="B24" s="9"/>
      <c r="C24" s="31" t="s">
        <v>39</v>
      </c>
      <c r="D24" s="22">
        <v>2.4</v>
      </c>
      <c r="E24" s="22" t="s">
        <v>40</v>
      </c>
      <c r="F24" s="22" t="s">
        <v>44</v>
      </c>
      <c r="G24" s="1" t="s">
        <v>41</v>
      </c>
      <c r="H24" s="11"/>
      <c r="M24" s="11"/>
      <c r="N24" s="20"/>
    </row>
    <row r="25" spans="2:14" ht="11.15" customHeight="1" x14ac:dyDescent="0.25">
      <c r="B25" s="9"/>
      <c r="C25" s="31" t="s">
        <v>42</v>
      </c>
      <c r="D25" s="22">
        <v>1</v>
      </c>
      <c r="E25" s="22"/>
      <c r="F25" s="22"/>
      <c r="H25" s="11"/>
      <c r="M25" s="11"/>
      <c r="N25" s="20"/>
    </row>
    <row r="26" spans="2:14" ht="11.15" customHeight="1" x14ac:dyDescent="0.25">
      <c r="B26" s="9"/>
      <c r="C26" s="9" t="s">
        <v>43</v>
      </c>
      <c r="D26" s="1">
        <v>2.8</v>
      </c>
      <c r="E26" s="1" t="s">
        <v>27</v>
      </c>
      <c r="F26" s="1" t="s">
        <v>45</v>
      </c>
      <c r="G26" s="1" t="s">
        <v>41</v>
      </c>
      <c r="H26" s="11"/>
      <c r="M26" s="11"/>
      <c r="N26" s="20"/>
    </row>
    <row r="27" spans="2:14" ht="11.15" customHeight="1" x14ac:dyDescent="0.25">
      <c r="B27" s="9"/>
      <c r="C27" s="9" t="s">
        <v>19</v>
      </c>
      <c r="D27" s="1">
        <v>2</v>
      </c>
      <c r="G27" s="1" t="s">
        <v>25</v>
      </c>
      <c r="H27" s="11"/>
      <c r="M27" s="11"/>
      <c r="N27" s="20"/>
    </row>
    <row r="28" spans="2:14" ht="11.15" customHeight="1" x14ac:dyDescent="0.25">
      <c r="B28" s="9"/>
      <c r="C28" s="9" t="s">
        <v>20</v>
      </c>
      <c r="D28" s="1">
        <v>5.5</v>
      </c>
      <c r="E28" s="1" t="s">
        <v>26</v>
      </c>
      <c r="G28" s="1" t="s">
        <v>41</v>
      </c>
      <c r="H28" s="11"/>
      <c r="M28" s="11"/>
      <c r="N28" s="20"/>
    </row>
    <row r="29" spans="2:14" ht="11.15" customHeight="1" x14ac:dyDescent="0.25">
      <c r="B29" s="9"/>
      <c r="C29" s="9" t="s">
        <v>21</v>
      </c>
      <c r="D29" s="1">
        <v>1</v>
      </c>
      <c r="H29" s="11"/>
      <c r="L29" s="22"/>
      <c r="M29" s="11"/>
      <c r="N29" s="20"/>
    </row>
    <row r="30" spans="2:14" ht="11.15" customHeight="1" x14ac:dyDescent="0.25">
      <c r="B30" s="9"/>
      <c r="C30" s="32" t="s">
        <v>28</v>
      </c>
      <c r="D30" s="33">
        <f>SUM(D22:D29)</f>
        <v>30.7</v>
      </c>
      <c r="E30" s="15"/>
      <c r="F30" s="15"/>
      <c r="G30" s="15"/>
      <c r="H30" s="17"/>
      <c r="I30" s="35" t="s">
        <v>53</v>
      </c>
      <c r="L30" s="22"/>
      <c r="M30" s="11"/>
      <c r="N30" s="20"/>
    </row>
    <row r="31" spans="2:14" ht="11.15" customHeight="1" x14ac:dyDescent="0.25">
      <c r="B31" s="9"/>
      <c r="L31" s="22"/>
      <c r="M31" s="11"/>
      <c r="N31" s="20"/>
    </row>
    <row r="32" spans="2:14" ht="11.15" customHeight="1" x14ac:dyDescent="0.25">
      <c r="B32" s="9"/>
      <c r="L32" s="22"/>
      <c r="M32" s="11"/>
    </row>
    <row r="33" spans="2:13" ht="11.15" customHeight="1" x14ac:dyDescent="0.25">
      <c r="B33" s="9"/>
      <c r="L33" s="22"/>
      <c r="M33" s="11"/>
    </row>
    <row r="34" spans="2:13" ht="11.15" customHeight="1" x14ac:dyDescent="0.25">
      <c r="B34" s="9"/>
      <c r="L34" s="22"/>
      <c r="M34" s="11"/>
    </row>
    <row r="35" spans="2:13" ht="11.15" customHeight="1" x14ac:dyDescent="0.25">
      <c r="B35" s="9"/>
      <c r="L35" s="22"/>
      <c r="M35" s="11"/>
    </row>
    <row r="36" spans="2:13" ht="11.15" customHeight="1" x14ac:dyDescent="0.25">
      <c r="B36" s="9"/>
      <c r="L36" s="22"/>
      <c r="M36" s="11"/>
    </row>
    <row r="37" spans="2:13" ht="11.15" customHeight="1" x14ac:dyDescent="0.25">
      <c r="B37" s="9"/>
      <c r="L37" s="22"/>
      <c r="M37" s="11"/>
    </row>
    <row r="38" spans="2:13" ht="11.15" customHeight="1" x14ac:dyDescent="0.25">
      <c r="B38" s="9"/>
      <c r="L38" s="22"/>
      <c r="M38" s="11"/>
    </row>
    <row r="39" spans="2:13" ht="11.15" customHeight="1" x14ac:dyDescent="0.25">
      <c r="B39" s="9"/>
      <c r="L39" s="22"/>
      <c r="M39" s="11"/>
    </row>
    <row r="40" spans="2:13" ht="11.15" customHeight="1" x14ac:dyDescent="0.25">
      <c r="B40" s="9"/>
      <c r="L40" s="22"/>
      <c r="M40" s="11"/>
    </row>
    <row r="41" spans="2:13" ht="11.15" customHeight="1" x14ac:dyDescent="0.25">
      <c r="B41" s="9"/>
      <c r="L41" s="22"/>
      <c r="M41" s="11"/>
    </row>
    <row r="42" spans="2:13" ht="11.15" customHeight="1" x14ac:dyDescent="0.25">
      <c r="B42" s="9"/>
      <c r="M42" s="11"/>
    </row>
    <row r="43" spans="2:13" ht="11.15" customHeight="1" x14ac:dyDescent="0.25">
      <c r="B43" s="9"/>
      <c r="M43" s="11"/>
    </row>
    <row r="44" spans="2:13" ht="11.15" customHeight="1" x14ac:dyDescent="0.25">
      <c r="B44" s="9"/>
      <c r="M44" s="11"/>
    </row>
    <row r="45" spans="2:13" ht="11.15" customHeight="1" x14ac:dyDescent="0.25">
      <c r="B45" s="9"/>
      <c r="M45" s="11"/>
    </row>
    <row r="46" spans="2:13" ht="11.15" customHeight="1" x14ac:dyDescent="0.25">
      <c r="B46" s="9"/>
      <c r="M46" s="11"/>
    </row>
    <row r="47" spans="2:13" ht="11.15" customHeight="1" x14ac:dyDescent="0.25">
      <c r="B47" s="9"/>
      <c r="M47" s="11"/>
    </row>
    <row r="48" spans="2:13" ht="11.15" customHeight="1" x14ac:dyDescent="0.25">
      <c r="B48" s="9"/>
      <c r="M48" s="11"/>
    </row>
    <row r="49" spans="2:13" ht="11.15" customHeight="1" x14ac:dyDescent="0.25">
      <c r="B49" s="9"/>
      <c r="M49" s="11"/>
    </row>
    <row r="50" spans="2:13" ht="11.15" customHeight="1" x14ac:dyDescent="0.25">
      <c r="B50" s="9"/>
      <c r="M50" s="11"/>
    </row>
    <row r="51" spans="2:13" ht="11.15" customHeight="1" x14ac:dyDescent="0.25">
      <c r="B51" s="9"/>
      <c r="M51" s="11"/>
    </row>
    <row r="52" spans="2:13" ht="11.15" customHeight="1" x14ac:dyDescent="0.25">
      <c r="B52" s="9"/>
      <c r="M52" s="11"/>
    </row>
    <row r="53" spans="2:13" ht="11.15" customHeight="1" x14ac:dyDescent="0.25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7"/>
    </row>
    <row r="54" spans="2:13" ht="11.15" customHeight="1" x14ac:dyDescent="0.25"/>
    <row r="55" spans="2:13" ht="11.15" customHeight="1" x14ac:dyDescent="0.25"/>
    <row r="56" spans="2:13" ht="11.15" customHeight="1" x14ac:dyDescent="0.25"/>
    <row r="57" spans="2:13" ht="11.15" customHeight="1" x14ac:dyDescent="0.25"/>
    <row r="58" spans="2:13" ht="11.15" customHeight="1" x14ac:dyDescent="0.25"/>
    <row r="59" spans="2:13" ht="11.15" customHeight="1" x14ac:dyDescent="0.25"/>
    <row r="60" spans="2:13" ht="11.15" customHeight="1" x14ac:dyDescent="0.25"/>
    <row r="61" spans="2:13" ht="11.15" customHeight="1" x14ac:dyDescent="0.25"/>
    <row r="62" spans="2:13" ht="11.15" customHeight="1" x14ac:dyDescent="0.25"/>
    <row r="63" spans="2:13" ht="11.15" customHeight="1" x14ac:dyDescent="0.25"/>
    <row r="64" spans="2:13" ht="11.15" customHeight="1" x14ac:dyDescent="0.25"/>
    <row r="65" ht="11.15" customHeight="1" x14ac:dyDescent="0.25"/>
    <row r="66" ht="11.15" customHeight="1" x14ac:dyDescent="0.25"/>
    <row r="67" ht="11.15" customHeight="1" x14ac:dyDescent="0.25"/>
    <row r="68" ht="11.15" customHeight="1" x14ac:dyDescent="0.25"/>
    <row r="69" ht="11.15" customHeight="1" x14ac:dyDescent="0.25"/>
    <row r="70" ht="11.15" customHeight="1" x14ac:dyDescent="0.25"/>
    <row r="71" ht="11.15" customHeight="1" x14ac:dyDescent="0.25"/>
    <row r="72" ht="11.15" customHeight="1" x14ac:dyDescent="0.25"/>
    <row r="73" ht="11.15" customHeight="1" x14ac:dyDescent="0.25"/>
    <row r="74" ht="11.15" customHeight="1" x14ac:dyDescent="0.25"/>
    <row r="75" ht="11.15" customHeight="1" x14ac:dyDescent="0.25"/>
    <row r="76" ht="11.15" customHeight="1" x14ac:dyDescent="0.25"/>
    <row r="77" ht="11.15" customHeight="1" x14ac:dyDescent="0.25"/>
    <row r="78" ht="11.15" customHeight="1" x14ac:dyDescent="0.25"/>
    <row r="79" ht="11.15" customHeight="1" x14ac:dyDescent="0.25"/>
    <row r="80" ht="11.15" customHeight="1" x14ac:dyDescent="0.25"/>
    <row r="81" ht="11.15" customHeight="1" x14ac:dyDescent="0.25"/>
    <row r="82" ht="11.15" customHeight="1" x14ac:dyDescent="0.25"/>
    <row r="83" ht="11.15" customHeight="1" x14ac:dyDescent="0.25"/>
    <row r="84" ht="11.15" customHeight="1" x14ac:dyDescent="0.25"/>
    <row r="85" ht="11.15" customHeight="1" x14ac:dyDescent="0.25"/>
    <row r="86" ht="11.15" customHeight="1" x14ac:dyDescent="0.25"/>
    <row r="87" ht="11.15" customHeight="1" x14ac:dyDescent="0.25"/>
    <row r="88" ht="11.15" customHeight="1" x14ac:dyDescent="0.25"/>
    <row r="89" ht="11.15" customHeight="1" x14ac:dyDescent="0.25"/>
    <row r="90" ht="11.15" customHeight="1" x14ac:dyDescent="0.25"/>
    <row r="91" ht="11.15" customHeight="1" x14ac:dyDescent="0.25"/>
    <row r="92" ht="11.15" customHeight="1" x14ac:dyDescent="0.25"/>
    <row r="93" ht="11.15" customHeight="1" x14ac:dyDescent="0.25"/>
    <row r="94" ht="11.15" customHeight="1" x14ac:dyDescent="0.25"/>
    <row r="95" ht="11.15" customHeight="1" x14ac:dyDescent="0.25"/>
    <row r="96" ht="11.15" customHeight="1" x14ac:dyDescent="0.25"/>
    <row r="97" ht="11.15" customHeight="1" x14ac:dyDescent="0.25"/>
    <row r="98" ht="11.15" customHeight="1" x14ac:dyDescent="0.25"/>
    <row r="99" ht="11.15" customHeight="1" x14ac:dyDescent="0.25"/>
    <row r="100" ht="11.15" customHeight="1" x14ac:dyDescent="0.25"/>
    <row r="101" ht="11.15" customHeight="1" x14ac:dyDescent="0.25"/>
    <row r="102" ht="11.15" customHeight="1" x14ac:dyDescent="0.25"/>
    <row r="103" ht="11.15" customHeight="1" x14ac:dyDescent="0.25"/>
    <row r="104" ht="11.15" customHeight="1" x14ac:dyDescent="0.25"/>
    <row r="105" ht="11.15" customHeight="1" x14ac:dyDescent="0.25"/>
    <row r="106" ht="11.15" customHeight="1" x14ac:dyDescent="0.25"/>
    <row r="107" ht="11.15" customHeight="1" x14ac:dyDescent="0.25"/>
    <row r="108" ht="11.15" customHeight="1" x14ac:dyDescent="0.25"/>
    <row r="109" ht="11.15" customHeight="1" x14ac:dyDescent="0.25"/>
  </sheetData>
  <sheetProtection formatCells="0" insertHyperlinks="0" sort="0" autoFilter="0" pivotTables="0"/>
  <conditionalFormatting sqref="L1">
    <cfRule type="cellIs" dxfId="6" priority="1" operator="equal">
      <formula>"CALC REQ'D"</formula>
    </cfRule>
    <cfRule type="cellIs" dxfId="5" priority="2" operator="equal">
      <formula>"DONE"</formula>
    </cfRule>
    <cfRule type="cellIs" dxfId="4" priority="3" operator="equal">
      <formula>"""NOT-DONE"""</formula>
    </cfRule>
    <cfRule type="containsText" dxfId="3" priority="4" operator="containsText" text="&quot;NOT-DONE&quot;">
      <formula>NOT(ISERROR(SEARCH("""NOT-DONE""",L1)))</formula>
    </cfRule>
    <cfRule type="cellIs" dxfId="2" priority="5" operator="equal">
      <formula>"FORMAT"</formula>
    </cfRule>
    <cfRule type="containsText" dxfId="1" priority="6" operator="containsText" text="DONE">
      <formula>NOT(ISERROR(SEARCH("DONE",L1)))</formula>
    </cfRule>
    <cfRule type="containsText" dxfId="0" priority="7" operator="containsText" text="NOT-DONE">
      <formula>NOT(ISERROR(SEARCH("NOT-DONE",L1)))</formula>
    </cfRule>
  </conditionalFormatting>
  <dataValidations count="1">
    <dataValidation type="list" allowBlank="1" showInputMessage="1" showErrorMessage="1" sqref="L1" xr:uid="{F616C03C-2AE3-4C38-B999-F6E64EDC87A7}">
      <formula1>"DONE,FORMAT,CALC REQ'D"</formula1>
    </dataValidation>
  </dataValidations>
  <pageMargins left="0.7" right="0.6" top="0.65" bottom="0.45" header="0" footer="0"/>
  <pageSetup scale="9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Floor</vt:lpstr>
      <vt:lpstr>Roof</vt:lpstr>
      <vt:lpstr>Floor!Print_Area</vt:lpstr>
      <vt:lpstr>Roof!Print_Area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Dingfield</dc:creator>
  <cp:lastModifiedBy>Andy Sazima</cp:lastModifiedBy>
  <cp:lastPrinted>2022-12-19T18:25:15Z</cp:lastPrinted>
  <dcterms:created xsi:type="dcterms:W3CDTF">2022-08-23T18:13:56Z</dcterms:created>
  <dcterms:modified xsi:type="dcterms:W3CDTF">2026-05-21T22:03:40Z</dcterms:modified>
</cp:coreProperties>
</file>