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pffla-my.sharepoint.com/personal/andy_sazima_kpff_com/Documents/Projects/Beaverton Creek/"/>
    </mc:Choice>
  </mc:AlternateContent>
  <xr:revisionPtr revIDLastSave="48" documentId="8_{BC827696-9A41-49F6-A0AC-E23791882C64}" xr6:coauthVersionLast="47" xr6:coauthVersionMax="47" xr10:uidLastSave="{3FA5C1DC-445E-4BBF-A565-FBD459CF9CE0}"/>
  <bookViews>
    <workbookView xWindow="28680" yWindow="-120" windowWidth="29040" windowHeight="15720" tabRatio="733" activeTab="4" xr2:uid="{00000000-000D-0000-FFFF-FFFF00000000}"/>
  </bookViews>
  <sheets>
    <sheet name="Site Ground Motions" sheetId="1" r:id="rId1"/>
    <sheet name="Site Coefficients" sheetId="13386" r:id="rId2"/>
    <sheet name="Equivalent Lateral Forces" sheetId="2" r:id="rId3"/>
    <sheet name="Vertical Distribution" sheetId="13387" r:id="rId4"/>
    <sheet name="Diaphragm Forces" sheetId="109" r:id="rId5"/>
  </sheets>
  <externalReferences>
    <externalReference r:id="rId6"/>
  </externalReferences>
  <definedNames>
    <definedName name="FaAx" localSheetId="3">'[1]Site Coefficients (BSE-2N)'!$K$7:$K$13</definedName>
    <definedName name="FaAx">'Site Coefficients'!$L$9:$L$15</definedName>
    <definedName name="FaAy">'Site Coefficients'!$M$9:$M$15</definedName>
    <definedName name="FaBx" localSheetId="3">'[1]Site Coefficients (BSE-2N)'!$M$7:$M$13</definedName>
    <definedName name="FaBx">'Site Coefficients'!$N$9:$N$15</definedName>
    <definedName name="FaBy">'Site Coefficients'!$O$9:$O$15</definedName>
    <definedName name="FaCx" localSheetId="3">'[1]Site Coefficients (BSE-2N)'!$O$7:$O$13</definedName>
    <definedName name="FaCx">'Site Coefficients'!$P$9:$P$15</definedName>
    <definedName name="FaCy" localSheetId="3">'[1]Site Coefficients (BSE-2N)'!$P$7:$P$13</definedName>
    <definedName name="FaCy">'Site Coefficients'!$Q$9:$Q$15</definedName>
    <definedName name="FaDx" localSheetId="3">'[1]Site Coefficients (BSE-2N)'!$Q$7:$Q$13</definedName>
    <definedName name="FaDx">'Site Coefficients'!$R$9:$R$15</definedName>
    <definedName name="FaDy" localSheetId="3">'[1]Site Coefficients (BSE-2N)'!$R$7:$R$13</definedName>
    <definedName name="FaDy">'Site Coefficients'!$S$9:$S$15</definedName>
    <definedName name="FaEx" localSheetId="3">'[1]Site Coefficients (BSE-2N)'!$S$7:$S$13</definedName>
    <definedName name="FaEx">'Site Coefficients'!$T$9:$T$15</definedName>
    <definedName name="FaEy" localSheetId="3">'[1]Site Coefficients (BSE-2N)'!$T$7:$T$13</definedName>
    <definedName name="FaEy">'Site Coefficients'!$U$9:$U$15</definedName>
    <definedName name="FvAx" localSheetId="3">'[1]Site Coefficients (BSE-2N)'!$K$22:$K$28</definedName>
    <definedName name="FvAx">'Site Coefficients'!$L$22:$L$28</definedName>
    <definedName name="FvAy">'Site Coefficients'!$M$22:$M$28</definedName>
    <definedName name="FvBx" localSheetId="3">'[1]Site Coefficients (BSE-2N)'!$M$22:$M$28</definedName>
    <definedName name="FvBx">'Site Coefficients'!$N$22:$N$28</definedName>
    <definedName name="FvBy">'Site Coefficients'!$O$22:$O$28</definedName>
    <definedName name="FvCx" localSheetId="3">'[1]Site Coefficients (BSE-2N)'!$O$22:$O$28</definedName>
    <definedName name="FvCx">'Site Coefficients'!$P$22:$P$28</definedName>
    <definedName name="FvCy" localSheetId="3">'[1]Site Coefficients (BSE-2N)'!$P$22:$P$28</definedName>
    <definedName name="FvCy">'Site Coefficients'!$Q$22:$Q$28</definedName>
    <definedName name="FvDx" localSheetId="3">'[1]Site Coefficients (BSE-2N)'!$Q$22:$Q$28</definedName>
    <definedName name="FvDx">'Site Coefficients'!$R$22:$R$28</definedName>
    <definedName name="FvDy" localSheetId="3">'[1]Site Coefficients (BSE-2N)'!$R$22:$R$28</definedName>
    <definedName name="FvDy">'Site Coefficients'!$S$22:$S$28</definedName>
    <definedName name="FvEx" localSheetId="3">'[1]Site Coefficients (BSE-2N)'!$S$22:$S$28</definedName>
    <definedName name="FvEx">'Site Coefficients'!$T$22:$T$28</definedName>
    <definedName name="FvEy" localSheetId="3">'[1]Site Coefficients (BSE-2N)'!$T$22:$T$28</definedName>
    <definedName name="FvEy">'Site Coefficients'!$U$22:$U$28</definedName>
    <definedName name="MatchFaA">'Site Coefficients'!$M$17</definedName>
    <definedName name="MatchFaB">'Site Coefficients'!$O$17</definedName>
    <definedName name="MatchFaC" localSheetId="3">'[1]Site Coefficients (BSE-2N)'!$P$15</definedName>
    <definedName name="MatchFaC">'Site Coefficients'!$Q$17</definedName>
    <definedName name="MatchFaD" localSheetId="3">'[1]Site Coefficients (BSE-2N)'!$R$15</definedName>
    <definedName name="MatchFaD">'Site Coefficients'!$S$17</definedName>
    <definedName name="MatchFaE" localSheetId="3">'[1]Site Coefficients (BSE-2N)'!$T$15</definedName>
    <definedName name="MatchFaE">'Site Coefficients'!$U$17</definedName>
    <definedName name="MatchFvA">'Site Coefficients'!$M$30</definedName>
    <definedName name="MatchFvB">'Site Coefficients'!$O$30</definedName>
    <definedName name="MatchFvC" localSheetId="3">'[1]Site Coefficients (BSE-2N)'!$P$30</definedName>
    <definedName name="MatchFvC">'Site Coefficients'!$Q$30</definedName>
    <definedName name="MatchFvD" localSheetId="3">'[1]Site Coefficients (BSE-2N)'!$R$30</definedName>
    <definedName name="MatchFvD">'Site Coefficients'!$S$30</definedName>
    <definedName name="MatchFvE" localSheetId="3">'[1]Site Coefficients (BSE-2N)'!$T$30</definedName>
    <definedName name="MatchFvE">'Site Coefficients'!$U$30</definedName>
    <definedName name="_xlnm.Print_Area" localSheetId="4">'Diaphragm Forces'!$A$1:$K$38</definedName>
    <definedName name="_xlnm.Print_Area" localSheetId="2">'Equivalent Lateral Forces'!$A$1:$M$58</definedName>
    <definedName name="_xlnm.Print_Area" localSheetId="1">'Site Coefficients'!$A$1:$J$42</definedName>
    <definedName name="_xlnm.Print_Area" localSheetId="0">'Site Ground Motions'!$A$1:$J$57</definedName>
    <definedName name="_xlnm.Print_Area" localSheetId="3">'Vertical Distribution'!$A$1:$M$59</definedName>
    <definedName name="SiteClass">'Site Coefficients'!$L$34:$L$38</definedName>
    <definedName name="TargetFaA" localSheetId="3">'[1]Site Coefficients (BSE-2N)'!$L$14</definedName>
    <definedName name="TargetFaA">'Site Coefficients'!$M$16</definedName>
    <definedName name="TargetFaB" localSheetId="3">'[1]Site Coefficients (BSE-2N)'!$N$14</definedName>
    <definedName name="TargetFaB">'Site Coefficients'!$O$16</definedName>
    <definedName name="TargetFaC" localSheetId="3">'[1]Site Coefficients (BSE-2N)'!$P$14</definedName>
    <definedName name="TargetFaC">'Site Coefficients'!$Q$16</definedName>
    <definedName name="TargetFaD" localSheetId="3">'[1]Site Coefficients (BSE-2N)'!$R$14</definedName>
    <definedName name="TargetFaD">'Site Coefficients'!$S$16</definedName>
    <definedName name="TargetFaE" localSheetId="3">'[1]Site Coefficients (BSE-2N)'!$T$14</definedName>
    <definedName name="TargetFaE">'Site Coefficients'!$U$16</definedName>
    <definedName name="TargetFvA" localSheetId="3">'[1]Site Coefficients (BSE-2N)'!$L$29</definedName>
    <definedName name="TargetFvA">'Site Coefficients'!$M$29</definedName>
    <definedName name="TargetFvB" localSheetId="3">'[1]Site Coefficients (BSE-2N)'!$N$29</definedName>
    <definedName name="TargetFvB">'Site Coefficients'!$O$29</definedName>
    <definedName name="TargetFvC" localSheetId="3">'[1]Site Coefficients (BSE-2N)'!$P$29</definedName>
    <definedName name="TargetFvC">'Site Coefficients'!$Q$29</definedName>
    <definedName name="TargetFvD" localSheetId="3">'[1]Site Coefficients (BSE-2N)'!$R$29</definedName>
    <definedName name="TargetFvD">'Site Coefficients'!$S$29</definedName>
    <definedName name="TargetFvE" localSheetId="3">'[1]Site Coefficients (BSE-2N)'!$T$29</definedName>
    <definedName name="TargetFvE">'Site Coefficients'!$U$29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1" l="1"/>
  <c r="B18" i="109"/>
  <c r="X2" i="109"/>
  <c r="X1" i="109"/>
  <c r="X2" i="13387"/>
  <c r="X1" i="13387"/>
  <c r="G48" i="13387"/>
  <c r="G49" i="13387"/>
  <c r="G50" i="13387"/>
  <c r="G51" i="13387"/>
  <c r="G52" i="13387"/>
  <c r="G53" i="13387"/>
  <c r="G54" i="13387"/>
  <c r="G55" i="13387"/>
  <c r="F44" i="13387"/>
  <c r="F45" i="13387"/>
  <c r="G45" i="13387" s="1"/>
  <c r="F46" i="13387"/>
  <c r="G46" i="13387" s="1"/>
  <c r="F47" i="13387"/>
  <c r="G47" i="13387" s="1"/>
  <c r="F48" i="13387"/>
  <c r="F49" i="13387"/>
  <c r="F50" i="13387"/>
  <c r="F51" i="13387"/>
  <c r="F52" i="13387"/>
  <c r="F53" i="13387"/>
  <c r="F54" i="13387"/>
  <c r="F55" i="13387"/>
  <c r="F43" i="13387"/>
  <c r="E44" i="13387"/>
  <c r="E45" i="13387"/>
  <c r="E46" i="13387"/>
  <c r="E47" i="13387"/>
  <c r="E48" i="13387"/>
  <c r="E49" i="13387"/>
  <c r="E50" i="13387"/>
  <c r="E51" i="13387"/>
  <c r="E52" i="13387"/>
  <c r="E53" i="13387"/>
  <c r="E54" i="13387"/>
  <c r="E55" i="13387"/>
  <c r="E43" i="13387"/>
  <c r="C51" i="13387"/>
  <c r="C52" i="13387"/>
  <c r="C53" i="13387"/>
  <c r="C54" i="13387"/>
  <c r="C55" i="13387"/>
  <c r="E24" i="13387"/>
  <c r="F18" i="13387"/>
  <c r="D18" i="13387"/>
  <c r="C28" i="13387"/>
  <c r="A22" i="109" s="1"/>
  <c r="B22" i="109" s="1"/>
  <c r="C29" i="13387"/>
  <c r="A23" i="109" s="1"/>
  <c r="B23" i="109" s="1"/>
  <c r="C30" i="13387"/>
  <c r="A24" i="109" s="1"/>
  <c r="B24" i="109" s="1"/>
  <c r="C31" i="13387"/>
  <c r="A25" i="109" s="1"/>
  <c r="B25" i="109" s="1"/>
  <c r="C32" i="13387"/>
  <c r="A26" i="109" s="1"/>
  <c r="B26" i="109" s="1"/>
  <c r="C33" i="13387"/>
  <c r="A27" i="109" s="1"/>
  <c r="B27" i="109" s="1"/>
  <c r="C34" i="13387"/>
  <c r="A28" i="109" s="1"/>
  <c r="B28" i="109" s="1"/>
  <c r="C35" i="13387"/>
  <c r="A29" i="109" s="1"/>
  <c r="B29" i="109" s="1"/>
  <c r="C36" i="13387"/>
  <c r="G36" i="13387" s="1"/>
  <c r="C44" i="13387"/>
  <c r="C50" i="13387"/>
  <c r="C49" i="13387"/>
  <c r="C48" i="13387"/>
  <c r="C47" i="13387"/>
  <c r="C46" i="13387"/>
  <c r="C45" i="13387"/>
  <c r="C27" i="13387"/>
  <c r="C26" i="13387"/>
  <c r="C25" i="13387"/>
  <c r="X2" i="2"/>
  <c r="X1" i="2"/>
  <c r="X2" i="13386"/>
  <c r="X1" i="13386"/>
  <c r="G43" i="13387" l="1"/>
  <c r="A30" i="109"/>
  <c r="G44" i="13387"/>
  <c r="I36" i="13387"/>
  <c r="K55" i="13387" s="1"/>
  <c r="M55" i="13387" s="1"/>
  <c r="H36" i="13387"/>
  <c r="K30" i="109" l="1"/>
  <c r="J30" i="109"/>
  <c r="I30" i="109"/>
  <c r="H30" i="109"/>
  <c r="G30" i="109"/>
  <c r="F30" i="109"/>
  <c r="E30" i="109"/>
  <c r="B30" i="109"/>
  <c r="D30" i="109"/>
  <c r="C30" i="109"/>
  <c r="L55" i="13387"/>
  <c r="C28" i="1" l="1"/>
  <c r="D1" i="109" l="1"/>
  <c r="C29" i="1"/>
  <c r="K4" i="109" l="1"/>
  <c r="J4" i="109"/>
  <c r="J3" i="109"/>
  <c r="D3" i="109"/>
  <c r="J2" i="109"/>
  <c r="D2" i="109"/>
  <c r="J1" i="109"/>
  <c r="A18" i="109"/>
  <c r="E3" i="13386" l="1"/>
  <c r="E2" i="13386"/>
  <c r="E1" i="13386"/>
  <c r="E3" i="2"/>
  <c r="E2" i="2"/>
  <c r="E1" i="2"/>
  <c r="J4" i="13386"/>
  <c r="I4" i="13386"/>
  <c r="I3" i="13386"/>
  <c r="I2" i="13386"/>
  <c r="I1" i="13386"/>
  <c r="M4" i="2"/>
  <c r="L4" i="2"/>
  <c r="L3" i="2"/>
  <c r="L2" i="2"/>
  <c r="L1" i="2"/>
  <c r="M4" i="13387"/>
  <c r="L4" i="13387"/>
  <c r="L3" i="13387"/>
  <c r="L2" i="13387"/>
  <c r="L1" i="13387"/>
  <c r="F1" i="13387"/>
  <c r="F3" i="13387"/>
  <c r="F2" i="13387"/>
  <c r="A20" i="109"/>
  <c r="A19" i="109"/>
  <c r="B19" i="109" l="1"/>
  <c r="B20" i="109"/>
  <c r="A21" i="109"/>
  <c r="B21" i="109" s="1"/>
  <c r="E25" i="13387"/>
  <c r="E26" i="13387" s="1"/>
  <c r="E27" i="13387" l="1"/>
  <c r="E28" i="13387" l="1"/>
  <c r="E29" i="13387" s="1"/>
  <c r="E8" i="13387"/>
  <c r="H8" i="13387" s="1"/>
  <c r="G28" i="13387" l="1"/>
  <c r="E30" i="13387"/>
  <c r="G29" i="13387"/>
  <c r="G27" i="13387"/>
  <c r="I13" i="2"/>
  <c r="M31" i="13386"/>
  <c r="C34" i="13386"/>
  <c r="C36" i="13386"/>
  <c r="M18" i="13386"/>
  <c r="G30" i="13387" l="1"/>
  <c r="E31" i="13387"/>
  <c r="Q22" i="1"/>
  <c r="V15" i="2"/>
  <c r="E32" i="13387" l="1"/>
  <c r="G31" i="13387"/>
  <c r="M34" i="13386"/>
  <c r="M35" i="13386"/>
  <c r="N34" i="13386"/>
  <c r="N35" i="13386"/>
  <c r="E33" i="13387" l="1"/>
  <c r="G32" i="13387"/>
  <c r="F12" i="109"/>
  <c r="E34" i="13387" l="1"/>
  <c r="G33" i="13387"/>
  <c r="F15" i="2"/>
  <c r="Q34" i="1"/>
  <c r="Q33" i="1"/>
  <c r="D22" i="2"/>
  <c r="W13" i="2"/>
  <c r="V11" i="2"/>
  <c r="O23" i="2"/>
  <c r="V23" i="2" s="1"/>
  <c r="E35" i="13387" l="1"/>
  <c r="G34" i="13387"/>
  <c r="X13" i="2"/>
  <c r="Q23" i="1"/>
  <c r="V13" i="2" s="1"/>
  <c r="V12" i="2"/>
  <c r="E36" i="13387" l="1"/>
  <c r="G35" i="13387"/>
  <c r="C37" i="13386"/>
  <c r="I15" i="2"/>
  <c r="D30" i="2" s="1"/>
  <c r="Q29" i="13386" l="1"/>
  <c r="M29" i="13386"/>
  <c r="M30" i="13386" s="1"/>
  <c r="O14" i="2"/>
  <c r="S29" i="13386"/>
  <c r="U29" i="13386"/>
  <c r="O29" i="13386"/>
  <c r="O30" i="13386" s="1"/>
  <c r="Q30" i="13386" l="1"/>
  <c r="Q31" i="13386" s="1"/>
  <c r="U30" i="13386"/>
  <c r="S30" i="13386"/>
  <c r="S31" i="13386" l="1"/>
  <c r="N37" i="13386" s="1"/>
  <c r="N36" i="13386"/>
  <c r="U31" i="13386"/>
  <c r="N38" i="13386" s="1"/>
  <c r="S16" i="13386"/>
  <c r="C40" i="13386" l="1"/>
  <c r="C15" i="1" s="1"/>
  <c r="C18" i="1" s="1"/>
  <c r="O16" i="13386"/>
  <c r="O17" i="13386" s="1"/>
  <c r="S17" i="13386"/>
  <c r="S18" i="13386" s="1"/>
  <c r="M37" i="13386" s="1"/>
  <c r="M16" i="13386"/>
  <c r="M17" i="13386" s="1"/>
  <c r="U16" i="13386"/>
  <c r="Q16" i="13386"/>
  <c r="C22" i="1" l="1"/>
  <c r="U17" i="13386"/>
  <c r="U18" i="13386" s="1"/>
  <c r="M38" i="13386" s="1"/>
  <c r="Q17" i="13386"/>
  <c r="Q18" i="13386" s="1"/>
  <c r="M36" i="13386" s="1"/>
  <c r="C14" i="2" l="1"/>
  <c r="C39" i="13386"/>
  <c r="C14" i="1" s="1"/>
  <c r="D26" i="2" l="1"/>
  <c r="C17" i="1"/>
  <c r="C21" i="1" s="1"/>
  <c r="R34" i="1"/>
  <c r="C37" i="1"/>
  <c r="C38" i="1"/>
  <c r="D28" i="2" l="1"/>
  <c r="D25" i="2"/>
  <c r="D27" i="2"/>
  <c r="C25" i="1"/>
  <c r="F14" i="2" l="1"/>
  <c r="C24" i="1"/>
  <c r="M23" i="1"/>
  <c r="P25" i="2" s="1"/>
  <c r="Q25" i="2" s="1"/>
  <c r="W25" i="2" s="1"/>
  <c r="O23" i="1"/>
  <c r="M22" i="1"/>
  <c r="P24" i="2" s="1"/>
  <c r="O22" i="1"/>
  <c r="M21" i="1"/>
  <c r="O21" i="1"/>
  <c r="C36" i="1"/>
  <c r="C12" i="109"/>
  <c r="C13" i="2"/>
  <c r="R31" i="1"/>
  <c r="R27" i="1"/>
  <c r="I19" i="109" l="1"/>
  <c r="I20" i="109"/>
  <c r="I24" i="109"/>
  <c r="I21" i="109"/>
  <c r="I22" i="109"/>
  <c r="I23" i="109"/>
  <c r="I25" i="109"/>
  <c r="I26" i="109"/>
  <c r="I27" i="109"/>
  <c r="I28" i="109"/>
  <c r="I29" i="109"/>
  <c r="H19" i="109"/>
  <c r="H20" i="109"/>
  <c r="H21" i="109"/>
  <c r="H22" i="109"/>
  <c r="H23" i="109"/>
  <c r="H24" i="109"/>
  <c r="H25" i="109"/>
  <c r="H26" i="109"/>
  <c r="H27" i="109"/>
  <c r="H28" i="109"/>
  <c r="H29" i="109"/>
  <c r="H18" i="109"/>
  <c r="N23" i="1"/>
  <c r="N24" i="1" s="1"/>
  <c r="L23" i="1"/>
  <c r="O25" i="2" s="1"/>
  <c r="O26" i="2" s="1"/>
  <c r="Q24" i="2"/>
  <c r="W24" i="2" s="1"/>
  <c r="D24" i="2"/>
  <c r="Q23" i="2" s="1"/>
  <c r="W23" i="2" s="1"/>
  <c r="D29" i="2"/>
  <c r="X15" i="2" s="1"/>
  <c r="W15" i="2" s="1"/>
  <c r="Q30" i="1"/>
  <c r="Q31" i="1"/>
  <c r="N22" i="1"/>
  <c r="O13" i="2" l="1"/>
  <c r="X12" i="2" s="1"/>
  <c r="N25" i="1"/>
  <c r="O25" i="1" s="1"/>
  <c r="O24" i="1"/>
  <c r="P26" i="2" s="1"/>
  <c r="C35" i="1"/>
  <c r="C39" i="1" s="1"/>
  <c r="X16" i="2"/>
  <c r="W16" i="2" s="1"/>
  <c r="O15" i="2"/>
  <c r="L24" i="1"/>
  <c r="M24" i="1" s="1"/>
  <c r="Q26" i="1"/>
  <c r="F13" i="2"/>
  <c r="L22" i="1"/>
  <c r="O24" i="2" s="1"/>
  <c r="V24" i="2" s="1"/>
  <c r="Q27" i="1"/>
  <c r="V26" i="2"/>
  <c r="W26" i="2" s="1"/>
  <c r="V25" i="2"/>
  <c r="X11" i="2" l="1"/>
  <c r="O17" i="2"/>
  <c r="D32" i="2" s="1"/>
  <c r="I11" i="13387" s="1"/>
  <c r="N26" i="1"/>
  <c r="O26" i="1" s="1"/>
  <c r="Q26" i="2"/>
  <c r="L25" i="1"/>
  <c r="R22" i="1"/>
  <c r="W12" i="2" s="1"/>
  <c r="R21" i="1"/>
  <c r="W11" i="2" s="1"/>
  <c r="I14" i="2"/>
  <c r="O27" i="2"/>
  <c r="V27" i="2" s="1"/>
  <c r="W27" i="2" s="1"/>
  <c r="G32" i="2" l="1"/>
  <c r="M25" i="1"/>
  <c r="P27" i="2" s="1"/>
  <c r="N27" i="1"/>
  <c r="O27" i="1" s="1"/>
  <c r="L26" i="1"/>
  <c r="O28" i="2"/>
  <c r="V28" i="2" s="1"/>
  <c r="W28" i="2" s="1"/>
  <c r="M26" i="1" l="1"/>
  <c r="P28" i="2" s="1"/>
  <c r="N28" i="1"/>
  <c r="O28" i="1" s="1"/>
  <c r="Q27" i="2"/>
  <c r="L27" i="1"/>
  <c r="M27" i="1" s="1"/>
  <c r="O29" i="2"/>
  <c r="V29" i="2" s="1"/>
  <c r="W29" i="2" s="1"/>
  <c r="P29" i="2" l="1"/>
  <c r="N29" i="1"/>
  <c r="O29" i="1" s="1"/>
  <c r="Q28" i="2"/>
  <c r="L28" i="1"/>
  <c r="O30" i="2"/>
  <c r="V30" i="2" s="1"/>
  <c r="W30" i="2" s="1"/>
  <c r="M28" i="1" l="1"/>
  <c r="P30" i="2" s="1"/>
  <c r="N30" i="1"/>
  <c r="O30" i="1" s="1"/>
  <c r="L29" i="1"/>
  <c r="Q29" i="2"/>
  <c r="O31" i="2"/>
  <c r="V31" i="2" s="1"/>
  <c r="W31" i="2" s="1"/>
  <c r="M29" i="1" l="1"/>
  <c r="P31" i="2" s="1"/>
  <c r="N31" i="1"/>
  <c r="O31" i="1" s="1"/>
  <c r="L30" i="1"/>
  <c r="Q30" i="2"/>
  <c r="O32" i="2"/>
  <c r="V32" i="2" s="1"/>
  <c r="W32" i="2" s="1"/>
  <c r="Q31" i="2" l="1"/>
  <c r="M30" i="1"/>
  <c r="P32" i="2" s="1"/>
  <c r="N32" i="1"/>
  <c r="O32" i="1" s="1"/>
  <c r="L31" i="1"/>
  <c r="O33" i="2"/>
  <c r="V33" i="2" s="1"/>
  <c r="W33" i="2" s="1"/>
  <c r="Q32" i="2" l="1"/>
  <c r="M31" i="1"/>
  <c r="P33" i="2" s="1"/>
  <c r="N33" i="1"/>
  <c r="O33" i="1" s="1"/>
  <c r="L32" i="1"/>
  <c r="O34" i="2"/>
  <c r="V34" i="2" s="1"/>
  <c r="W34" i="2" s="1"/>
  <c r="Q33" i="2" l="1"/>
  <c r="M32" i="1"/>
  <c r="P34" i="2" s="1"/>
  <c r="N34" i="1"/>
  <c r="O34" i="1" s="1"/>
  <c r="L33" i="1"/>
  <c r="O35" i="2"/>
  <c r="V35" i="2" s="1"/>
  <c r="W35" i="2" s="1"/>
  <c r="Q34" i="2" l="1"/>
  <c r="M33" i="1"/>
  <c r="P35" i="2" s="1"/>
  <c r="N35" i="1"/>
  <c r="O35" i="1" s="1"/>
  <c r="L34" i="1"/>
  <c r="O36" i="2"/>
  <c r="V36" i="2" s="1"/>
  <c r="W36" i="2" s="1"/>
  <c r="Q35" i="2" l="1"/>
  <c r="M34" i="1"/>
  <c r="P36" i="2" s="1"/>
  <c r="N36" i="1"/>
  <c r="O36" i="1" s="1"/>
  <c r="L35" i="1"/>
  <c r="O37" i="2"/>
  <c r="V37" i="2" s="1"/>
  <c r="W37" i="2" s="1"/>
  <c r="Q36" i="2" l="1"/>
  <c r="M35" i="1"/>
  <c r="P37" i="2" s="1"/>
  <c r="N37" i="1"/>
  <c r="O37" i="1" s="1"/>
  <c r="L36" i="1"/>
  <c r="O38" i="2"/>
  <c r="V38" i="2" s="1"/>
  <c r="W38" i="2" s="1"/>
  <c r="Q37" i="2" l="1"/>
  <c r="M36" i="1"/>
  <c r="P38" i="2" s="1"/>
  <c r="L37" i="1"/>
  <c r="L38" i="1" s="1"/>
  <c r="N38" i="1"/>
  <c r="O38" i="1" s="1"/>
  <c r="O39" i="2"/>
  <c r="V39" i="2" s="1"/>
  <c r="W39" i="2" s="1"/>
  <c r="Q38" i="2" l="1"/>
  <c r="M37" i="1"/>
  <c r="P39" i="2" s="1"/>
  <c r="M38" i="1"/>
  <c r="P40" i="2" s="1"/>
  <c r="N39" i="1"/>
  <c r="O39" i="1" s="1"/>
  <c r="P41" i="2" s="1"/>
  <c r="L39" i="1"/>
  <c r="O40" i="2"/>
  <c r="V40" i="2" s="1"/>
  <c r="W40" i="2" s="1"/>
  <c r="Q39" i="2" l="1"/>
  <c r="M39" i="1"/>
  <c r="N40" i="1"/>
  <c r="O40" i="1" s="1"/>
  <c r="P42" i="2" s="1"/>
  <c r="Q40" i="2"/>
  <c r="L40" i="1"/>
  <c r="O41" i="2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V41" i="2" l="1"/>
  <c r="W41" i="2" s="1"/>
  <c r="M40" i="1"/>
  <c r="N41" i="1"/>
  <c r="O41" i="1" s="1"/>
  <c r="Q41" i="2"/>
  <c r="L41" i="1"/>
  <c r="V42" i="2"/>
  <c r="W42" i="2" s="1"/>
  <c r="M41" i="1" l="1"/>
  <c r="P43" i="2" s="1"/>
  <c r="N42" i="1"/>
  <c r="O42" i="1" s="1"/>
  <c r="Q42" i="2"/>
  <c r="L42" i="1"/>
  <c r="V43" i="2"/>
  <c r="W43" i="2" s="1"/>
  <c r="M42" i="1" l="1"/>
  <c r="P44" i="2" s="1"/>
  <c r="N43" i="1"/>
  <c r="O43" i="1" s="1"/>
  <c r="Q43" i="2"/>
  <c r="L43" i="1"/>
  <c r="V44" i="2"/>
  <c r="W44" i="2" s="1"/>
  <c r="Q44" i="2" l="1"/>
  <c r="M43" i="1"/>
  <c r="P45" i="2" s="1"/>
  <c r="N44" i="1"/>
  <c r="O44" i="1" s="1"/>
  <c r="L44" i="1"/>
  <c r="V45" i="2"/>
  <c r="W45" i="2" s="1"/>
  <c r="M44" i="1" l="1"/>
  <c r="P46" i="2" s="1"/>
  <c r="N45" i="1"/>
  <c r="O45" i="1" s="1"/>
  <c r="L45" i="1"/>
  <c r="Q45" i="2"/>
  <c r="V46" i="2"/>
  <c r="W46" i="2" s="1"/>
  <c r="Q46" i="2" l="1"/>
  <c r="M45" i="1"/>
  <c r="P47" i="2" s="1"/>
  <c r="N46" i="1"/>
  <c r="O46" i="1" s="1"/>
  <c r="L46" i="1"/>
  <c r="V47" i="2"/>
  <c r="W47" i="2" s="1"/>
  <c r="Q47" i="2" l="1"/>
  <c r="M46" i="1"/>
  <c r="P48" i="2" s="1"/>
  <c r="N47" i="1"/>
  <c r="O47" i="1" s="1"/>
  <c r="L47" i="1"/>
  <c r="V48" i="2"/>
  <c r="W48" i="2" s="1"/>
  <c r="Q48" i="2" l="1"/>
  <c r="M47" i="1"/>
  <c r="P49" i="2" s="1"/>
  <c r="Q49" i="2" s="1"/>
  <c r="N48" i="1"/>
  <c r="O48" i="1" s="1"/>
  <c r="L48" i="1"/>
  <c r="V49" i="2"/>
  <c r="W49" i="2" s="1"/>
  <c r="M48" i="1" l="1"/>
  <c r="P50" i="2" s="1"/>
  <c r="N49" i="1"/>
  <c r="O49" i="1" s="1"/>
  <c r="L49" i="1"/>
  <c r="V50" i="2"/>
  <c r="W50" i="2" s="1"/>
  <c r="Q50" i="2" l="1"/>
  <c r="M49" i="1"/>
  <c r="P51" i="2" s="1"/>
  <c r="N50" i="1"/>
  <c r="O50" i="1" s="1"/>
  <c r="L50" i="1"/>
  <c r="V51" i="2"/>
  <c r="W51" i="2" s="1"/>
  <c r="Q51" i="2" l="1"/>
  <c r="M50" i="1"/>
  <c r="P52" i="2" s="1"/>
  <c r="N51" i="1"/>
  <c r="O51" i="1" s="1"/>
  <c r="L51" i="1"/>
  <c r="V52" i="2"/>
  <c r="W52" i="2" s="1"/>
  <c r="Q52" i="2" l="1"/>
  <c r="M51" i="1"/>
  <c r="P53" i="2" s="1"/>
  <c r="N52" i="1"/>
  <c r="O52" i="1" s="1"/>
  <c r="L52" i="1"/>
  <c r="L53" i="1" s="1"/>
  <c r="V53" i="2"/>
  <c r="W53" i="2" s="1"/>
  <c r="Q53" i="2" l="1"/>
  <c r="M53" i="1"/>
  <c r="M52" i="1"/>
  <c r="P54" i="2" s="1"/>
  <c r="Q54" i="2" s="1"/>
  <c r="N53" i="1"/>
  <c r="O53" i="1" s="1"/>
  <c r="P55" i="2" s="1"/>
  <c r="V54" i="2"/>
  <c r="W54" i="2" s="1"/>
  <c r="L54" i="1"/>
  <c r="M54" i="1" l="1"/>
  <c r="N54" i="1"/>
  <c r="O54" i="1" s="1"/>
  <c r="V55" i="2"/>
  <c r="W55" i="2" s="1"/>
  <c r="Q55" i="2"/>
  <c r="L55" i="1"/>
  <c r="P56" i="2" l="1"/>
  <c r="Q56" i="2" s="1"/>
  <c r="M55" i="1"/>
  <c r="N55" i="1"/>
  <c r="O55" i="1" s="1"/>
  <c r="V56" i="2"/>
  <c r="W56" i="2" s="1"/>
  <c r="L56" i="1"/>
  <c r="P57" i="2" l="1"/>
  <c r="Q57" i="2" s="1"/>
  <c r="M56" i="1"/>
  <c r="N56" i="1"/>
  <c r="O56" i="1" s="1"/>
  <c r="V57" i="2"/>
  <c r="W57" i="2" s="1"/>
  <c r="L57" i="1"/>
  <c r="P58" i="2" l="1"/>
  <c r="Q58" i="2" s="1"/>
  <c r="M57" i="1"/>
  <c r="N57" i="1"/>
  <c r="O57" i="1" s="1"/>
  <c r="V58" i="2"/>
  <c r="W58" i="2" s="1"/>
  <c r="L58" i="1"/>
  <c r="M58" i="1" l="1"/>
  <c r="N58" i="1"/>
  <c r="O58" i="1" s="1"/>
  <c r="L59" i="1"/>
  <c r="M59" i="1" l="1"/>
  <c r="N59" i="1"/>
  <c r="O59" i="1" s="1"/>
  <c r="L60" i="1"/>
  <c r="M60" i="1" l="1"/>
  <c r="N60" i="1"/>
  <c r="O60" i="1" s="1"/>
  <c r="L61" i="1"/>
  <c r="M61" i="1" l="1"/>
  <c r="N61" i="1"/>
  <c r="O61" i="1" s="1"/>
  <c r="L62" i="1"/>
  <c r="M62" i="1" l="1"/>
  <c r="N62" i="1"/>
  <c r="O62" i="1" s="1"/>
  <c r="L63" i="1"/>
  <c r="M63" i="1" l="1"/>
  <c r="N63" i="1"/>
  <c r="O63" i="1" s="1"/>
  <c r="L64" i="1"/>
  <c r="M64" i="1" l="1"/>
  <c r="N64" i="1"/>
  <c r="O64" i="1" s="1"/>
  <c r="L65" i="1"/>
  <c r="M65" i="1" l="1"/>
  <c r="N65" i="1"/>
  <c r="O65" i="1" s="1"/>
  <c r="L66" i="1"/>
  <c r="M66" i="1" l="1"/>
  <c r="N66" i="1"/>
  <c r="O66" i="1" s="1"/>
  <c r="L67" i="1"/>
  <c r="M67" i="1" l="1"/>
  <c r="N67" i="1"/>
  <c r="O67" i="1" s="1"/>
  <c r="L68" i="1"/>
  <c r="M68" i="1" l="1"/>
  <c r="N68" i="1"/>
  <c r="O68" i="1" s="1"/>
  <c r="L69" i="1"/>
  <c r="V16" i="2"/>
  <c r="M69" i="1" l="1"/>
  <c r="N69" i="1"/>
  <c r="O69" i="1" s="1"/>
  <c r="G26" i="13387" l="1"/>
  <c r="G24" i="13387" l="1"/>
  <c r="C18" i="109" l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I18" i="109"/>
  <c r="G25" i="13387" l="1"/>
  <c r="G18" i="13387" s="1"/>
  <c r="E9" i="13387"/>
  <c r="I12" i="13387" l="1"/>
  <c r="H58" i="13387" s="1"/>
  <c r="H32" i="13387"/>
  <c r="I32" i="13387" s="1"/>
  <c r="D26" i="109" s="1"/>
  <c r="H33" i="13387"/>
  <c r="I33" i="13387" s="1"/>
  <c r="D27" i="109" s="1"/>
  <c r="H34" i="13387"/>
  <c r="I34" i="13387" s="1"/>
  <c r="D28" i="109" s="1"/>
  <c r="H35" i="13387"/>
  <c r="I35" i="13387" s="1"/>
  <c r="D29" i="109" s="1"/>
  <c r="H28" i="13387"/>
  <c r="I28" i="13387" s="1"/>
  <c r="D22" i="109" s="1"/>
  <c r="H29" i="13387"/>
  <c r="I29" i="13387" s="1"/>
  <c r="D23" i="109" s="1"/>
  <c r="H30" i="13387"/>
  <c r="I30" i="13387" s="1"/>
  <c r="D24" i="109" s="1"/>
  <c r="H31" i="13387"/>
  <c r="I31" i="13387" s="1"/>
  <c r="D25" i="109" s="1"/>
  <c r="D9" i="109"/>
  <c r="B15" i="109"/>
  <c r="G10" i="109" l="1"/>
  <c r="J58" i="13387"/>
  <c r="K58" i="13387"/>
  <c r="K53" i="13387"/>
  <c r="M53" i="13387" s="1"/>
  <c r="K52" i="13387"/>
  <c r="M52" i="13387" s="1"/>
  <c r="K51" i="13387"/>
  <c r="M51" i="13387" s="1"/>
  <c r="K54" i="13387"/>
  <c r="M54" i="13387" s="1"/>
  <c r="K50" i="13387"/>
  <c r="M50" i="13387" s="1"/>
  <c r="K47" i="13387"/>
  <c r="M47" i="13387" s="1"/>
  <c r="K49" i="13387"/>
  <c r="M49" i="13387" s="1"/>
  <c r="K48" i="13387"/>
  <c r="M48" i="13387" s="1"/>
  <c r="H27" i="13387"/>
  <c r="I27" i="13387" s="1"/>
  <c r="D21" i="109" s="1"/>
  <c r="H24" i="13387"/>
  <c r="H26" i="13387"/>
  <c r="I26" i="13387" s="1"/>
  <c r="D20" i="109" s="1"/>
  <c r="H25" i="13387"/>
  <c r="I25" i="13387" s="1"/>
  <c r="K44" i="13387" l="1"/>
  <c r="M44" i="13387" s="1"/>
  <c r="D19" i="109"/>
  <c r="K45" i="13387"/>
  <c r="M45" i="13387" s="1"/>
  <c r="L54" i="13387"/>
  <c r="L51" i="13387"/>
  <c r="L52" i="13387"/>
  <c r="L53" i="13387"/>
  <c r="L48" i="13387"/>
  <c r="L49" i="13387"/>
  <c r="L47" i="13387"/>
  <c r="L50" i="13387"/>
  <c r="I24" i="13387"/>
  <c r="D18" i="109" s="1"/>
  <c r="H18" i="13387"/>
  <c r="K46" i="13387"/>
  <c r="M46" i="13387" s="1"/>
  <c r="L45" i="13387" l="1"/>
  <c r="I18" i="13387"/>
  <c r="L46" i="13387"/>
  <c r="K43" i="13387"/>
  <c r="L43" i="13387" s="1"/>
  <c r="J25" i="13387"/>
  <c r="K25" i="13387" s="1"/>
  <c r="L44" i="13387"/>
  <c r="D15" i="109"/>
  <c r="E18" i="109"/>
  <c r="E19" i="109" s="1"/>
  <c r="E20" i="109" l="1"/>
  <c r="F19" i="109"/>
  <c r="G19" i="109" s="1"/>
  <c r="J19" i="109" s="1"/>
  <c r="K19" i="109" s="1"/>
  <c r="M43" i="13387"/>
  <c r="J26" i="13387"/>
  <c r="J27" i="13387" s="1"/>
  <c r="J28" i="13387" s="1"/>
  <c r="J29" i="13387" s="1"/>
  <c r="F18" i="109"/>
  <c r="G18" i="109" s="1"/>
  <c r="J18" i="109" s="1"/>
  <c r="K18" i="109" s="1"/>
  <c r="E21" i="109" l="1"/>
  <c r="F20" i="109"/>
  <c r="G20" i="109" s="1"/>
  <c r="J20" i="109" s="1"/>
  <c r="K20" i="109" s="1"/>
  <c r="K26" i="13387"/>
  <c r="K27" i="13387" s="1"/>
  <c r="K28" i="13387" s="1"/>
  <c r="K29" i="13387" s="1"/>
  <c r="J30" i="13387"/>
  <c r="E22" i="109" l="1"/>
  <c r="F21" i="109"/>
  <c r="G21" i="109" s="1"/>
  <c r="J21" i="109" s="1"/>
  <c r="K21" i="109" s="1"/>
  <c r="K30" i="13387"/>
  <c r="J31" i="13387"/>
  <c r="E23" i="109" l="1"/>
  <c r="F22" i="109"/>
  <c r="G22" i="109" s="1"/>
  <c r="J22" i="109" s="1"/>
  <c r="K22" i="109" s="1"/>
  <c r="K31" i="13387"/>
  <c r="J32" i="13387"/>
  <c r="E24" i="109" l="1"/>
  <c r="F23" i="109"/>
  <c r="G23" i="109" s="1"/>
  <c r="J23" i="109" s="1"/>
  <c r="K23" i="109" s="1"/>
  <c r="K32" i="13387"/>
  <c r="F20" i="13387" s="1"/>
  <c r="I20" i="13387" s="1"/>
  <c r="J33" i="13387"/>
  <c r="E25" i="109" l="1"/>
  <c r="F24" i="109"/>
  <c r="G24" i="109" s="1"/>
  <c r="J24" i="109" s="1"/>
  <c r="K24" i="109" s="1"/>
  <c r="K33" i="13387"/>
  <c r="J34" i="13387"/>
  <c r="E26" i="109" l="1"/>
  <c r="F25" i="109"/>
  <c r="G25" i="109" s="1"/>
  <c r="J25" i="109" s="1"/>
  <c r="K25" i="109" s="1"/>
  <c r="K34" i="13387"/>
  <c r="J35" i="13387"/>
  <c r="E27" i="109" l="1"/>
  <c r="F26" i="109"/>
  <c r="G26" i="109" s="1"/>
  <c r="J26" i="109" s="1"/>
  <c r="K26" i="109" s="1"/>
  <c r="K35" i="13387"/>
  <c r="J36" i="13387"/>
  <c r="E28" i="109" l="1"/>
  <c r="F27" i="109"/>
  <c r="G27" i="109" s="1"/>
  <c r="J27" i="109" s="1"/>
  <c r="K27" i="109" s="1"/>
  <c r="K36" i="13387"/>
  <c r="E29" i="109" l="1"/>
  <c r="F29" i="109" s="1"/>
  <c r="G29" i="109" s="1"/>
  <c r="J29" i="109" s="1"/>
  <c r="K29" i="109" s="1"/>
  <c r="F28" i="109"/>
  <c r="G28" i="109" s="1"/>
  <c r="J28" i="109" s="1"/>
  <c r="K28" i="109" s="1"/>
</calcChain>
</file>

<file path=xl/sharedStrings.xml><?xml version="1.0" encoding="utf-8"?>
<sst xmlns="http://schemas.openxmlformats.org/spreadsheetml/2006/main" count="391" uniqueCount="225">
  <si>
    <t>Use Site Class:</t>
  </si>
  <si>
    <t>D</t>
  </si>
  <si>
    <r>
      <t>S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</t>
    </r>
  </si>
  <si>
    <r>
      <t>S</t>
    </r>
    <r>
      <rPr>
        <vertAlign val="subscript"/>
        <sz val="10"/>
        <rFont val="Arial"/>
        <family val="2"/>
      </rPr>
      <t>MS</t>
    </r>
    <r>
      <rPr>
        <sz val="10"/>
        <rFont val="Arial"/>
        <family val="2"/>
      </rPr>
      <t xml:space="preserve"> =</t>
    </r>
  </si>
  <si>
    <r>
      <t>S</t>
    </r>
    <r>
      <rPr>
        <vertAlign val="subscript"/>
        <sz val="10"/>
        <rFont val="Arial"/>
        <family val="2"/>
      </rPr>
      <t>M1</t>
    </r>
    <r>
      <rPr>
        <sz val="10"/>
        <rFont val="Arial"/>
        <family val="2"/>
      </rPr>
      <t xml:space="preserve"> =</t>
    </r>
  </si>
  <si>
    <r>
      <t>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=</t>
    </r>
  </si>
  <si>
    <r>
      <t>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=</t>
    </r>
  </si>
  <si>
    <r>
      <t>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</t>
    </r>
  </si>
  <si>
    <r>
      <t>T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</t>
    </r>
  </si>
  <si>
    <r>
      <t>{ T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 0.2 * 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}</t>
    </r>
  </si>
  <si>
    <r>
      <t>{ 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/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}</t>
    </r>
  </si>
  <si>
    <r>
      <t>S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</t>
    </r>
  </si>
  <si>
    <t>T</t>
  </si>
  <si>
    <r>
      <t>USE S</t>
    </r>
    <r>
      <rPr>
        <b/>
        <vertAlign val="subscript"/>
        <sz val="10"/>
        <rFont val="Arial"/>
        <family val="2"/>
      </rPr>
      <t>a</t>
    </r>
    <r>
      <rPr>
        <b/>
        <sz val="10"/>
        <rFont val="Arial"/>
        <family val="2"/>
      </rPr>
      <t xml:space="preserve"> =</t>
    </r>
  </si>
  <si>
    <t>Does Not Print</t>
  </si>
  <si>
    <t>Seismic Design Category =</t>
  </si>
  <si>
    <r>
      <t>V =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W</t>
    </r>
  </si>
  <si>
    <t>R =</t>
  </si>
  <si>
    <t>T =</t>
  </si>
  <si>
    <r>
      <t>USE C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 xml:space="preserve"> =</t>
    </r>
  </si>
  <si>
    <r>
      <t>C</t>
    </r>
    <r>
      <rPr>
        <vertAlign val="subscript"/>
        <sz val="10"/>
        <rFont val="Arial"/>
        <family val="2"/>
      </rPr>
      <t>s</t>
    </r>
  </si>
  <si>
    <r>
      <t>S</t>
    </r>
    <r>
      <rPr>
        <vertAlign val="subscript"/>
        <sz val="10"/>
        <rFont val="Arial"/>
        <family val="2"/>
      </rPr>
      <t>a</t>
    </r>
  </si>
  <si>
    <t>From Site Ground Motions Spreadsheet:</t>
  </si>
  <si>
    <t>Level</t>
  </si>
  <si>
    <t>Height</t>
  </si>
  <si>
    <t>Elevation</t>
  </si>
  <si>
    <r>
      <t>w</t>
    </r>
    <r>
      <rPr>
        <vertAlign val="subscript"/>
        <sz val="10"/>
        <rFont val="Arial"/>
        <family val="2"/>
      </rPr>
      <t>x</t>
    </r>
  </si>
  <si>
    <t>Floor</t>
  </si>
  <si>
    <t>Floor Wt.</t>
  </si>
  <si>
    <t>Building Period =</t>
  </si>
  <si>
    <t>k =</t>
  </si>
  <si>
    <r>
      <t>F</t>
    </r>
    <r>
      <rPr>
        <vertAlign val="subscript"/>
        <sz val="10"/>
        <rFont val="Arial"/>
        <family val="2"/>
      </rPr>
      <t>x</t>
    </r>
  </si>
  <si>
    <t>OTM</t>
  </si>
  <si>
    <t>{ Building Period from Dynamic Analysis }</t>
  </si>
  <si>
    <t>USE T =</t>
  </si>
  <si>
    <t>Building Weight =</t>
  </si>
  <si>
    <t>V =</t>
  </si>
  <si>
    <r>
      <t>S</t>
    </r>
    <r>
      <rPr>
        <b/>
        <vertAlign val="subscript"/>
        <sz val="10"/>
        <rFont val="Arial"/>
        <family val="2"/>
      </rPr>
      <t>DS</t>
    </r>
    <r>
      <rPr>
        <b/>
        <sz val="10"/>
        <rFont val="Arial"/>
        <family val="2"/>
      </rPr>
      <t xml:space="preserve"> =</t>
    </r>
  </si>
  <si>
    <r>
      <t>S</t>
    </r>
    <r>
      <rPr>
        <b/>
        <vertAlign val="subscript"/>
        <sz val="10"/>
        <rFont val="Arial"/>
        <family val="2"/>
      </rPr>
      <t>D1</t>
    </r>
    <r>
      <rPr>
        <b/>
        <sz val="10"/>
        <rFont val="Arial"/>
        <family val="2"/>
      </rPr>
      <t xml:space="preserve"> =</t>
    </r>
  </si>
  <si>
    <r>
      <t>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=</t>
    </r>
  </si>
  <si>
    <t>{ From Chapter 22 }</t>
  </si>
  <si>
    <r>
      <t>{ S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  for (T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&lt; T &lt; 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)</t>
    </r>
    <r>
      <rPr>
        <sz val="10"/>
        <rFont val="Arial"/>
        <family val="2"/>
      </rPr>
      <t xml:space="preserve"> per Section 11.4.5.2 }</t>
    </r>
  </si>
  <si>
    <r>
      <t>{ S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/ T   for (T &gt; 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)</t>
    </r>
    <r>
      <rPr>
        <sz val="10"/>
        <rFont val="Arial"/>
        <family val="2"/>
      </rPr>
      <t xml:space="preserve"> per Section 11.4.5.3 }</t>
    </r>
  </si>
  <si>
    <t>N.A.</t>
  </si>
  <si>
    <t>= Cs</t>
  </si>
  <si>
    <r>
      <t>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</t>
    </r>
  </si>
  <si>
    <t>n/a</t>
  </si>
  <si>
    <r>
      <t>F</t>
    </r>
    <r>
      <rPr>
        <vertAlign val="subscript"/>
        <sz val="10"/>
        <rFont val="Arial"/>
        <family val="2"/>
      </rPr>
      <t>px</t>
    </r>
  </si>
  <si>
    <t>Fv =</t>
  </si>
  <si>
    <t>Fa =</t>
  </si>
  <si>
    <r>
      <t>S</t>
    </r>
    <r>
      <rPr>
        <vertAlign val="subscript"/>
        <sz val="10"/>
        <color theme="1"/>
        <rFont val="Arial"/>
        <family val="2"/>
      </rPr>
      <t>1</t>
    </r>
    <r>
      <rPr>
        <sz val="10"/>
        <rFont val="Arial"/>
        <family val="2"/>
      </rPr>
      <t xml:space="preserve"> =</t>
    </r>
  </si>
  <si>
    <t>E</t>
  </si>
  <si>
    <r>
      <t>S</t>
    </r>
    <r>
      <rPr>
        <vertAlign val="subscript"/>
        <sz val="10"/>
        <color theme="1"/>
        <rFont val="Arial"/>
        <family val="2"/>
      </rPr>
      <t>S</t>
    </r>
    <r>
      <rPr>
        <sz val="10"/>
        <rFont val="Arial"/>
        <family val="2"/>
      </rPr>
      <t xml:space="preserve"> =</t>
    </r>
  </si>
  <si>
    <t>Site Class =</t>
  </si>
  <si>
    <t>C</t>
  </si>
  <si>
    <t>B</t>
  </si>
  <si>
    <t>A</t>
  </si>
  <si>
    <t>Fv</t>
  </si>
  <si>
    <t>Fa</t>
  </si>
  <si>
    <r>
      <t>NOTE: Use straight-line interpolation for intermediate values of S</t>
    </r>
    <r>
      <rPr>
        <vertAlign val="subscript"/>
        <sz val="10"/>
        <color theme="1"/>
        <rFont val="Arial"/>
        <family val="2"/>
      </rPr>
      <t>1</t>
    </r>
    <r>
      <rPr>
        <sz val="10"/>
        <rFont val="Arial"/>
        <family val="2"/>
      </rPr>
      <t>.</t>
    </r>
  </si>
  <si>
    <t>F</t>
  </si>
  <si>
    <t>Result</t>
  </si>
  <si>
    <t>Match</t>
  </si>
  <si>
    <t>Target</t>
  </si>
  <si>
    <t>Site Class</t>
  </si>
  <si>
    <t>TABLE 11.4-2  SITE COEFFICIENT, Fv</t>
  </si>
  <si>
    <t>FvEy</t>
  </si>
  <si>
    <t>FvEx</t>
  </si>
  <si>
    <t>FvDy</t>
  </si>
  <si>
    <t>FvDx</t>
  </si>
  <si>
    <t>FvCy</t>
  </si>
  <si>
    <t>FvCx</t>
  </si>
  <si>
    <t>FvBy</t>
  </si>
  <si>
    <t>FvBx</t>
  </si>
  <si>
    <t>FvAy</t>
  </si>
  <si>
    <t>FvAx</t>
  </si>
  <si>
    <t>NOTE: Use straight-line interpolation for intermediate values of Ss.</t>
  </si>
  <si>
    <t>TABLE 11.4-1  SITE COEFFICIENT, Fa</t>
  </si>
  <si>
    <r>
      <t>Mapped Risk-Targeted MCE</t>
    </r>
    <r>
      <rPr>
        <vertAlign val="subscript"/>
        <sz val="10"/>
        <color theme="1"/>
        <rFont val="Arial"/>
        <family val="2"/>
      </rPr>
      <t>R</t>
    </r>
  </si>
  <si>
    <t>Spectral Response Acceleration Parameter at Short Period</t>
  </si>
  <si>
    <t>Spectral Response Acceleration Parameter at 1-Second Period</t>
  </si>
  <si>
    <r>
      <t>T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</t>
    </r>
  </si>
  <si>
    <t>{ Alternate Building Period per Eq. 12.8-8 or 12.8-9 if applicable }</t>
  </si>
  <si>
    <r>
      <t>C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 xml:space="preserve"> =</t>
    </r>
  </si>
  <si>
    <t>{ Coefficient for Upper Limit on Calculated Period from Table 12.8-1 }</t>
  </si>
  <si>
    <r>
      <t>{ S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>* (0.4 + 0.6 T / T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>)   for (T &lt; T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>) per Section 11.4.5.1 }</t>
    </r>
  </si>
  <si>
    <r>
      <t>{ S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 xml:space="preserve">D1 </t>
    </r>
    <r>
      <rPr>
        <sz val="10"/>
        <rFont val="Arial"/>
        <family val="2"/>
      </rPr>
      <t>* 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/ T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  for (T &gt; 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>) per Section 11.4.5.4 }</t>
    </r>
  </si>
  <si>
    <t>Risk Category =</t>
  </si>
  <si>
    <r>
      <t>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 =</t>
    </r>
  </si>
  <si>
    <r>
      <t>R /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 =</t>
    </r>
  </si>
  <si>
    <r>
      <t>{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/ (R /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>) per Eq. 12.8-2 }</t>
    </r>
  </si>
  <si>
    <r>
      <t>{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/ T / (R /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>) Maximum per Eq. 12.8-3 }</t>
    </r>
  </si>
  <si>
    <r>
      <t>{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* 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/ T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/ (R /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>) per Eq. 12.8-4 }</t>
    </r>
  </si>
  <si>
    <t>= Does 12.8-6 Apply?</t>
  </si>
  <si>
    <r>
      <t>or 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</t>
    </r>
  </si>
  <si>
    <t>Cs Value determined from 12.8-2 thru 12.8-4.</t>
  </si>
  <si>
    <t>= Minimum Value from 12.8-5 and 12.8-6</t>
  </si>
  <si>
    <r>
      <t>{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0.5 S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/ (R /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) Minimum, </t>
    </r>
    <r>
      <rPr>
        <u/>
        <sz val="10"/>
        <rFont val="Arial"/>
        <family val="2"/>
      </rPr>
      <t>IFF</t>
    </r>
    <r>
      <rPr>
        <sz val="10"/>
        <rFont val="Arial"/>
        <family val="2"/>
      </rPr>
      <t xml:space="preserve"> S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&gt; 0.6g per Eq. 12.8-6 }</t>
    </r>
  </si>
  <si>
    <t>Equation</t>
  </si>
  <si>
    <t>12.10-1</t>
  </si>
  <si>
    <r>
      <t>Minimum F</t>
    </r>
    <r>
      <rPr>
        <vertAlign val="subscript"/>
        <sz val="10"/>
        <rFont val="Arial"/>
        <family val="2"/>
      </rPr>
      <t>px</t>
    </r>
    <r>
      <rPr>
        <sz val="10"/>
        <rFont val="Arial"/>
        <family val="2"/>
      </rPr>
      <t xml:space="preserve"> = 0.2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 w</t>
    </r>
    <r>
      <rPr>
        <vertAlign val="subscript"/>
        <sz val="10"/>
        <rFont val="Arial"/>
        <family val="2"/>
      </rPr>
      <t>px</t>
    </r>
    <r>
      <rPr>
        <sz val="10"/>
        <rFont val="Arial"/>
        <family val="2"/>
      </rPr>
      <t xml:space="preserve">  per Eq. 12.10-2</t>
    </r>
  </si>
  <si>
    <r>
      <t>Maximum F</t>
    </r>
    <r>
      <rPr>
        <vertAlign val="subscript"/>
        <sz val="10"/>
        <rFont val="Arial"/>
        <family val="2"/>
      </rPr>
      <t>px</t>
    </r>
    <r>
      <rPr>
        <sz val="10"/>
        <rFont val="Arial"/>
        <family val="2"/>
      </rPr>
      <t xml:space="preserve"> = 0.4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 w</t>
    </r>
    <r>
      <rPr>
        <vertAlign val="subscript"/>
        <sz val="10"/>
        <rFont val="Arial"/>
        <family val="2"/>
      </rPr>
      <t>px</t>
    </r>
    <r>
      <rPr>
        <sz val="10"/>
        <rFont val="Arial"/>
        <family val="2"/>
      </rPr>
      <t xml:space="preserve">  per Eq. 12.10-3</t>
    </r>
  </si>
  <si>
    <t>Min.</t>
  </si>
  <si>
    <t>Max.</t>
  </si>
  <si>
    <t>Diaphragm forces from the structural analysis and diaphragm forces from the transfer of forces from</t>
  </si>
  <si>
    <t>above/below the diaphragm are determined separately.</t>
  </si>
  <si>
    <t>Period</t>
  </si>
  <si>
    <t>Minimum</t>
  </si>
  <si>
    <t>Building Period</t>
  </si>
  <si>
    <r>
      <t>or  S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</t>
    </r>
  </si>
  <si>
    <r>
      <t>{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0.044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 or 0.01 Minimum per Eq. 12.8-5 }</t>
    </r>
  </si>
  <si>
    <r>
      <t>or  T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</t>
    </r>
  </si>
  <si>
    <r>
      <t>F</t>
    </r>
    <r>
      <rPr>
        <b/>
        <vertAlign val="subscript"/>
        <sz val="10"/>
        <rFont val="Arial"/>
        <family val="2"/>
      </rPr>
      <t>px</t>
    </r>
  </si>
  <si>
    <r>
      <t>S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</t>
    </r>
  </si>
  <si>
    <r>
      <t>F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=</t>
    </r>
  </si>
  <si>
    <t>{ From Table 11.4-1 }</t>
  </si>
  <si>
    <r>
      <t>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 xml:space="preserve"> =</t>
    </r>
  </si>
  <si>
    <t>{ From Table 11.4-2 }</t>
  </si>
  <si>
    <t>SITE COEFFICIENTS PER ASCE 7-16, Chapter 11</t>
  </si>
  <si>
    <t>See Section 11.4.8</t>
  </si>
  <si>
    <r>
      <t>{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1.5 * 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/ T / (R /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) Maximum per Eq. 12.8-3 and </t>
    </r>
    <r>
      <rPr>
        <b/>
        <sz val="10"/>
        <rFont val="Arial"/>
        <family val="2"/>
      </rPr>
      <t>11.4.8</t>
    </r>
    <r>
      <rPr>
        <sz val="10"/>
        <rFont val="Arial"/>
        <family val="2"/>
      </rPr>
      <t xml:space="preserve"> }</t>
    </r>
  </si>
  <si>
    <r>
      <t>{ 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1.5 * 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* T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/ T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/ (R / I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) per Eq. 12.8-4 and </t>
    </r>
    <r>
      <rPr>
        <b/>
        <sz val="10"/>
        <rFont val="Arial"/>
        <family val="2"/>
      </rPr>
      <t>11.4.8</t>
    </r>
    <r>
      <rPr>
        <sz val="10"/>
        <rFont val="Arial"/>
        <family val="2"/>
      </rPr>
      <t xml:space="preserve"> }</t>
    </r>
  </si>
  <si>
    <t>Latitude =</t>
  </si>
  <si>
    <t>Longitude =</t>
  </si>
  <si>
    <r>
      <t>{ Per ASCE 7-16 S</t>
    </r>
    <r>
      <rPr>
        <vertAlign val="subscript"/>
        <sz val="10"/>
        <rFont val="Arial"/>
        <family val="2"/>
      </rPr>
      <t>MS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* F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 xml:space="preserve"> }</t>
    </r>
  </si>
  <si>
    <r>
      <t>{ Per ASCE 7-16 S</t>
    </r>
    <r>
      <rPr>
        <vertAlign val="subscript"/>
        <sz val="10"/>
        <rFont val="Arial"/>
        <family val="2"/>
      </rPr>
      <t>M1</t>
    </r>
    <r>
      <rPr>
        <sz val="10"/>
        <rFont val="Arial"/>
        <family val="2"/>
      </rPr>
      <t xml:space="preserve"> = S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* 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 xml:space="preserve"> }</t>
    </r>
  </si>
  <si>
    <t>SITE GROUND MOTIONS PER ASCE 7-16, Chapters 11 and 12</t>
  </si>
  <si>
    <r>
      <t>{ Per ASCE 7-16 S</t>
    </r>
    <r>
      <rPr>
        <vertAlign val="subscript"/>
        <sz val="10"/>
        <rFont val="Arial"/>
        <family val="2"/>
      </rPr>
      <t>DS</t>
    </r>
    <r>
      <rPr>
        <sz val="10"/>
        <rFont val="Arial"/>
        <family val="2"/>
      </rPr>
      <t xml:space="preserve"> = 2/3 S</t>
    </r>
    <r>
      <rPr>
        <vertAlign val="subscript"/>
        <sz val="10"/>
        <rFont val="Arial"/>
        <family val="2"/>
      </rPr>
      <t>MS</t>
    </r>
    <r>
      <rPr>
        <sz val="10"/>
        <rFont val="Arial"/>
        <family val="2"/>
      </rPr>
      <t xml:space="preserve"> }</t>
    </r>
  </si>
  <si>
    <r>
      <t>{ Per ASCE 7-16 S</t>
    </r>
    <r>
      <rPr>
        <vertAlign val="subscript"/>
        <sz val="10"/>
        <rFont val="Arial"/>
        <family val="2"/>
      </rPr>
      <t>D1</t>
    </r>
    <r>
      <rPr>
        <sz val="10"/>
        <rFont val="Arial"/>
        <family val="2"/>
      </rPr>
      <t xml:space="preserve"> = 2/3 S</t>
    </r>
    <r>
      <rPr>
        <vertAlign val="subscript"/>
        <sz val="10"/>
        <rFont val="Arial"/>
        <family val="2"/>
      </rPr>
      <t>M1</t>
    </r>
    <r>
      <rPr>
        <sz val="10"/>
        <rFont val="Arial"/>
        <family val="2"/>
      </rPr>
      <t xml:space="preserve"> }</t>
    </r>
  </si>
  <si>
    <t>{ Building Period per ASCE 7-16 Eq. 12.8-7 }</t>
  </si>
  <si>
    <r>
      <t>h</t>
    </r>
    <r>
      <rPr>
        <vertAlign val="subscript"/>
        <sz val="10"/>
        <rFont val="Arial"/>
        <family val="2"/>
      </rPr>
      <t>n</t>
    </r>
    <r>
      <rPr>
        <sz val="10"/>
        <rFont val="Arial"/>
        <family val="2"/>
      </rPr>
      <t xml:space="preserve"> =</t>
    </r>
  </si>
  <si>
    <t>Project:</t>
  </si>
  <si>
    <t>By:</t>
  </si>
  <si>
    <t>Sheet No.</t>
  </si>
  <si>
    <t>GRAY AREA USED FOR NOTES TO ENGINEER OR BACK-UP CALCS (DOES NOT PRINT)</t>
  </si>
  <si>
    <t>Location:</t>
  </si>
  <si>
    <t>Date:</t>
  </si>
  <si>
    <t>* NOTE: TITLEBLOCK INFORMATION REFERENCES "SITE GROUND MOTION" PAGE</t>
  </si>
  <si>
    <t>Client:</t>
  </si>
  <si>
    <t>Revised:</t>
  </si>
  <si>
    <t>Job No.</t>
  </si>
  <si>
    <t>Subject:</t>
  </si>
  <si>
    <t># Stories =</t>
  </si>
  <si>
    <t>Base Shear, V =</t>
  </si>
  <si>
    <t>Ground Elevation=</t>
  </si>
  <si>
    <t>Building</t>
  </si>
  <si>
    <t>Bldg. Wt.</t>
  </si>
  <si>
    <t>Lateral Force Acts at a Height of:</t>
  </si>
  <si>
    <t>which equals</t>
  </si>
  <si>
    <t>of Building Height</t>
  </si>
  <si>
    <t>Roof</t>
  </si>
  <si>
    <t>—</t>
  </si>
  <si>
    <t>Vertical Distribution of Lateral Forces Per ASCE 7-16 Section 12.8.3</t>
  </si>
  <si>
    <t>SITE GROUND MOTIONS</t>
  </si>
  <si>
    <t>VERTICAL DISTRIBUTION</t>
  </si>
  <si>
    <t>Diaphragm Forces per ASCE 7-16, Section 12.10</t>
  </si>
  <si>
    <t>EQUIVALENT LATERAL FORCE PROCEDURE PER ASCE 7-16 Section 12.8</t>
  </si>
  <si>
    <t>{ From ASCE 7-16, Table 1.5-1 }</t>
  </si>
  <si>
    <t>{ From ASCE 7-16, Section 11.6 }</t>
  </si>
  <si>
    <t>DIAPHRAGM FORCES</t>
  </si>
  <si>
    <t>12.10-2</t>
  </si>
  <si>
    <t>12.10-3</t>
  </si>
  <si>
    <t>lb-s^2/ft</t>
  </si>
  <si>
    <t>k</t>
  </si>
  <si>
    <t>FORMATTING LEGEND</t>
  </si>
  <si>
    <t>Blank highlighted cell = requires engineer input to run.</t>
  </si>
  <si>
    <t>Shaded cell = value requires engineer review/input.</t>
  </si>
  <si>
    <t>Bold red indicates design warning.</t>
  </si>
  <si>
    <r>
      <t>h</t>
    </r>
    <r>
      <rPr>
        <vertAlign val="subscript"/>
        <sz val="10"/>
        <rFont val="Arial"/>
        <family val="2"/>
      </rPr>
      <t>x</t>
    </r>
  </si>
  <si>
    <r>
      <t>w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x</t>
    </r>
    <r>
      <rPr>
        <vertAlign val="superscript"/>
        <sz val="10"/>
        <rFont val="Arial"/>
        <family val="2"/>
      </rPr>
      <t>k</t>
    </r>
  </si>
  <si>
    <r>
      <t>C</t>
    </r>
    <r>
      <rPr>
        <vertAlign val="subscript"/>
        <sz val="10"/>
        <rFont val="Arial"/>
        <family val="2"/>
      </rPr>
      <t>vx</t>
    </r>
  </si>
  <si>
    <r>
      <t>F</t>
    </r>
    <r>
      <rPr>
        <b/>
        <vertAlign val="subscript"/>
        <sz val="10"/>
        <rFont val="Arial"/>
        <family val="2"/>
      </rPr>
      <t>x</t>
    </r>
  </si>
  <si>
    <r>
      <t>V</t>
    </r>
    <r>
      <rPr>
        <vertAlign val="subscript"/>
        <sz val="10"/>
        <rFont val="Arial"/>
        <family val="2"/>
      </rPr>
      <t>x</t>
    </r>
  </si>
  <si>
    <t>4 OF 5</t>
  </si>
  <si>
    <t>ETABS</t>
  </si>
  <si>
    <t>EQUIVALENT LATERAL FORCES</t>
  </si>
  <si>
    <t>SITE COEFFICIENTS</t>
  </si>
  <si>
    <t>1 of 5</t>
  </si>
  <si>
    <t>Template version:</t>
  </si>
  <si>
    <t>Last updated:</t>
  </si>
  <si>
    <t>{ Building above base to roof level, see Vertical Distribution sheet }</t>
  </si>
  <si>
    <t>3 of 5</t>
  </si>
  <si>
    <t>2 of 5</t>
  </si>
  <si>
    <t>{ ASCE 7-16 Section 12.8 }</t>
  </si>
  <si>
    <t>{ ASCE 7-16, Table 12.2-1 }</t>
  </si>
  <si>
    <t>{ ASCE 7-16, Table 1.5-2 }</t>
  </si>
  <si>
    <t>counter</t>
  </si>
  <si>
    <r>
      <rPr>
        <sz val="10"/>
        <rFont val="Symbol"/>
        <family val="1"/>
        <charset val="2"/>
      </rPr>
      <t>S</t>
    </r>
    <r>
      <rPr>
        <sz val="10"/>
        <rFont val="Calibri"/>
        <family val="2"/>
        <scheme val="minor"/>
      </rPr>
      <t>w</t>
    </r>
    <r>
      <rPr>
        <vertAlign val="subscript"/>
        <sz val="10"/>
        <rFont val="Calibri"/>
        <family val="2"/>
        <scheme val="minor"/>
      </rPr>
      <t>x</t>
    </r>
  </si>
  <si>
    <r>
      <rPr>
        <sz val="10"/>
        <rFont val="Symbol"/>
        <family val="1"/>
        <charset val="2"/>
      </rPr>
      <t>S</t>
    </r>
    <r>
      <rPr>
        <sz val="10"/>
        <rFont val="Calibri"/>
        <family val="2"/>
        <scheme val="minor"/>
      </rPr>
      <t>w</t>
    </r>
    <r>
      <rPr>
        <vertAlign val="subscript"/>
        <sz val="10"/>
        <rFont val="Calibri"/>
        <family val="2"/>
        <scheme val="minor"/>
      </rPr>
      <t>x</t>
    </r>
    <r>
      <rPr>
        <sz val="10"/>
        <rFont val="Calibri"/>
        <family val="2"/>
        <scheme val="minor"/>
      </rPr>
      <t>h</t>
    </r>
    <r>
      <rPr>
        <vertAlign val="subscript"/>
        <sz val="10"/>
        <rFont val="Calibri"/>
        <family val="2"/>
        <scheme val="minor"/>
      </rPr>
      <t>x</t>
    </r>
    <r>
      <rPr>
        <vertAlign val="superscript"/>
        <sz val="10"/>
        <rFont val="Calibri"/>
        <family val="2"/>
        <scheme val="minor"/>
      </rPr>
      <t>k</t>
    </r>
  </si>
  <si>
    <r>
      <rPr>
        <sz val="10"/>
        <rFont val="Symbol"/>
        <family val="1"/>
        <charset val="2"/>
      </rPr>
      <t>S</t>
    </r>
    <r>
      <rPr>
        <sz val="10"/>
        <rFont val="Calibri"/>
        <family val="2"/>
        <scheme val="minor"/>
      </rPr>
      <t>C</t>
    </r>
    <r>
      <rPr>
        <vertAlign val="subscript"/>
        <sz val="10"/>
        <rFont val="Calibri"/>
        <family val="2"/>
        <scheme val="minor"/>
      </rPr>
      <t>vx</t>
    </r>
  </si>
  <si>
    <r>
      <rPr>
        <sz val="10"/>
        <rFont val="Symbol"/>
        <family val="1"/>
        <charset val="2"/>
      </rPr>
      <t>S</t>
    </r>
    <r>
      <rPr>
        <sz val="10"/>
        <rFont val="Calibri"/>
        <family val="2"/>
        <scheme val="minor"/>
      </rPr>
      <t>F</t>
    </r>
    <r>
      <rPr>
        <vertAlign val="subscript"/>
        <sz val="10"/>
        <rFont val="Calibri"/>
        <family val="2"/>
        <scheme val="minor"/>
      </rPr>
      <t>x</t>
    </r>
  </si>
  <si>
    <t>Per ASCE 7-16 12.8.3</t>
  </si>
  <si>
    <t>Up to 12 stories supported by default. Formulas can be extended to additional levels as required.</t>
  </si>
  <si>
    <t>Hide or delete for other projects.</t>
  </si>
  <si>
    <t>Where a lateral analysis model (such as ETABS) is used for Equivalent Lateral Force (ELF) or Linear Dynamic Analysis, use this section.</t>
  </si>
  <si>
    <t>ANALYSIS MODEL VALIDATION</t>
  </si>
  <si>
    <t>TAKEOFF</t>
  </si>
  <si>
    <t>In ETABS, see Tables -&gt; Other Definitions -&gt; Mass Data -&gt; Table: Mass Summary by Story</t>
  </si>
  <si>
    <t>In ETABS, see Tables -&gt; Analysis Results -&gt; Structure Output -&gt; Other Output Items -&gt; Table: Story Forces</t>
  </si>
  <si>
    <r>
      <t xml:space="preserve">% </t>
    </r>
    <r>
      <rPr>
        <sz val="10"/>
        <rFont val="Calibri"/>
        <family val="2"/>
      </rPr>
      <t>Δ</t>
    </r>
  </si>
  <si>
    <t>MASS BY STORY</t>
  </si>
  <si>
    <t>FORCE BY STORY</t>
  </si>
  <si>
    <t>VY, K</t>
  </si>
  <si>
    <t>VX, K</t>
  </si>
  <si>
    <r>
      <t xml:space="preserve">X - % </t>
    </r>
    <r>
      <rPr>
        <sz val="10"/>
        <rFont val="Calibri"/>
        <family val="2"/>
      </rPr>
      <t>Δ</t>
    </r>
  </si>
  <si>
    <r>
      <t xml:space="preserve">Y - % </t>
    </r>
    <r>
      <rPr>
        <sz val="10"/>
        <rFont val="Calibri"/>
        <family val="2"/>
      </rPr>
      <t>Δ</t>
    </r>
  </si>
  <si>
    <t>In ETABS, see Tables -&gt; Analysis Results -&gt; Structure Output -&gt; Base Reactions -&gt; Table: Base Reactions</t>
  </si>
  <si>
    <t>X</t>
  </si>
  <si>
    <t>Y</t>
  </si>
  <si>
    <t>ETABS Base Reactions, K:</t>
  </si>
  <si>
    <t>BASE SHEAR</t>
  </si>
  <si>
    <r>
      <t>F</t>
    </r>
    <r>
      <rPr>
        <vertAlign val="subscript"/>
        <sz val="10"/>
        <rFont val="Arial"/>
        <family val="2"/>
      </rPr>
      <t>px</t>
    </r>
    <r>
      <rPr>
        <sz val="10"/>
        <rFont val="Arial"/>
        <family val="2"/>
      </rPr>
      <t xml:space="preserve"> / Wx</t>
    </r>
  </si>
  <si>
    <t>Vertical Distribution Story Table Range</t>
  </si>
  <si>
    <t>Analysis Model Validation Table Range</t>
  </si>
  <si>
    <r>
      <t>F</t>
    </r>
    <r>
      <rPr>
        <vertAlign val="subscript"/>
        <sz val="10"/>
        <rFont val="Calibri"/>
        <family val="2"/>
        <scheme val="minor"/>
      </rPr>
      <t>x</t>
    </r>
  </si>
  <si>
    <r>
      <rPr>
        <sz val="10"/>
        <rFont val="Symbol"/>
        <family val="1"/>
        <charset val="2"/>
      </rPr>
      <t>S</t>
    </r>
    <r>
      <rPr>
        <sz val="10"/>
        <rFont val="Calibri"/>
        <family val="2"/>
        <scheme val="minor"/>
      </rPr>
      <t>F</t>
    </r>
    <r>
      <rPr>
        <vertAlign val="subscript"/>
        <sz val="10"/>
        <rFont val="Calibri"/>
        <family val="2"/>
        <scheme val="minor"/>
      </rPr>
      <t>x</t>
    </r>
    <r>
      <rPr>
        <sz val="10"/>
        <rFont val="Calibri"/>
        <family val="2"/>
        <scheme val="minor"/>
      </rPr>
      <t xml:space="preserve"> / </t>
    </r>
    <r>
      <rPr>
        <sz val="10"/>
        <rFont val="Symbol"/>
        <family val="1"/>
        <charset val="2"/>
      </rPr>
      <t>S</t>
    </r>
    <r>
      <rPr>
        <sz val="10"/>
        <rFont val="Calibri"/>
        <family val="2"/>
        <scheme val="minor"/>
      </rPr>
      <t>w</t>
    </r>
    <r>
      <rPr>
        <vertAlign val="subscript"/>
        <sz val="10"/>
        <rFont val="Calibri"/>
        <family val="2"/>
        <scheme val="minor"/>
      </rPr>
      <t>x</t>
    </r>
  </si>
  <si>
    <t>5 of 5</t>
  </si>
  <si>
    <t>Column to ratio Fpx to Fx?</t>
  </si>
  <si>
    <t>{ Include Upperbound Limit on T per ASCE 7-16, Section 12.8.2 }</t>
  </si>
  <si>
    <t xml:space="preserve">Note: dyamic analysis is required to use Cu * T. </t>
  </si>
  <si>
    <t>Select either Ta per EQ 12.8-7/8/9, or min(T_dyanmic, Cu * Ta).</t>
  </si>
  <si>
    <t>Note: Fv is pulled from the 2022 OSSC. Scaling per 11.4.8 is still required unless we have site-specific values from a geotechnical report</t>
  </si>
  <si>
    <t>II</t>
  </si>
  <si>
    <t>Per Tramell Geotech Report</t>
  </si>
  <si>
    <t>Per geotechnical report dated July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</si>
</sst>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0.000\ &quot;g&quot;"/>
    <numFmt numFmtId="165" formatCode="0.0000"/>
    <numFmt numFmtId="166" formatCode="0.000"/>
    <numFmt numFmtId="167" formatCode="0.000\ &quot;s&quot;"/>
    <numFmt numFmtId="168" formatCode="0.00\ &quot;ft&quot;"/>
    <numFmt numFmtId="169" formatCode="0.0"/>
    <numFmt numFmtId="170" formatCode="#,##0\ &quot;k&quot;"/>
    <numFmt numFmtId="171" formatCode="#,##0.000"/>
    <numFmt numFmtId="172" formatCode="#,##0\ &quot;k*ft&quot;"/>
    <numFmt numFmtId="173" formatCode="0.0%"/>
    <numFmt numFmtId="174" formatCode="0.0\ &quot;s&quot;"/>
    <numFmt numFmtId="175" formatCode="0.00\ &quot;s&quot;"/>
    <numFmt numFmtId="176" formatCode="&quot;S1 = &quot;0.0"/>
    <numFmt numFmtId="177" formatCode="&quot;Ss = &quot;0.00"/>
    <numFmt numFmtId="178" formatCode="&quot;Ss &lt;= &quot;0.00"/>
    <numFmt numFmtId="179" formatCode="&quot;Ss &gt;= &quot;0.00"/>
    <numFmt numFmtId="180" formatCode="&quot;S1 &lt;= &quot;0.0"/>
    <numFmt numFmtId="181" formatCode="&quot;S1 &gt;= &quot;0.0"/>
    <numFmt numFmtId="182" formatCode="0.000\ &quot;W&quot;"/>
    <numFmt numFmtId="183" formatCode="0\ &quot;ft&quot;"/>
    <numFmt numFmtId="184" formatCode="mm/dd/yy;@"/>
    <numFmt numFmtId="185" formatCode="0.E+00"/>
    <numFmt numFmtId="186" formatCode="0.0E+00"/>
    <numFmt numFmtId="187" formatCode="0.00&quot; ft&quot;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vertAlign val="superscript"/>
      <sz val="1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7.5"/>
      <color theme="1"/>
      <name val="Calibri"/>
      <family val="2"/>
      <scheme val="minor"/>
    </font>
    <font>
      <sz val="7.5"/>
      <name val="Calibri"/>
      <family val="2"/>
      <scheme val="minor"/>
    </font>
    <font>
      <b/>
      <u/>
      <sz val="11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u/>
      <sz val="9"/>
      <name val="Arial"/>
      <family val="2"/>
    </font>
    <font>
      <sz val="7.5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indexed="17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Symbol"/>
      <family val="1"/>
      <charset val="2"/>
    </font>
    <font>
      <vertAlign val="sub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7.5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9" fontId="22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22" fillId="0" borderId="0"/>
    <xf numFmtId="9" fontId="2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22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1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 applyProtection="1">
      <protection locked="0"/>
    </xf>
    <xf numFmtId="0" fontId="26" fillId="0" borderId="11" xfId="0" applyFont="1" applyBorder="1" applyAlignment="1" applyProtection="1">
      <alignment horizontal="right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22" fillId="0" borderId="0" xfId="0" applyFont="1" applyProtection="1">
      <protection locked="0"/>
    </xf>
    <xf numFmtId="0" fontId="22" fillId="0" borderId="0" xfId="0" applyFont="1" applyAlignment="1" applyProtection="1">
      <alignment horizontal="right"/>
      <protection locked="0"/>
    </xf>
    <xf numFmtId="0" fontId="22" fillId="0" borderId="2" xfId="0" applyFont="1" applyBorder="1" applyAlignment="1" applyProtection="1">
      <alignment horizontal="center"/>
      <protection locked="0"/>
    </xf>
    <xf numFmtId="0" fontId="17" fillId="0" borderId="0" xfId="11"/>
    <xf numFmtId="0" fontId="17" fillId="0" borderId="0" xfId="11" applyAlignment="1">
      <alignment horizontal="center"/>
    </xf>
    <xf numFmtId="0" fontId="17" fillId="0" borderId="5" xfId="11" applyBorder="1" applyAlignment="1">
      <alignment horizontal="left"/>
    </xf>
    <xf numFmtId="0" fontId="17" fillId="0" borderId="20" xfId="11" applyBorder="1" applyAlignment="1">
      <alignment horizontal="center"/>
    </xf>
    <xf numFmtId="169" fontId="17" fillId="0" borderId="20" xfId="11" applyNumberFormat="1" applyBorder="1" applyAlignment="1">
      <alignment horizontal="center"/>
    </xf>
    <xf numFmtId="0" fontId="17" fillId="0" borderId="21" xfId="11" applyBorder="1" applyAlignment="1">
      <alignment horizontal="center"/>
    </xf>
    <xf numFmtId="0" fontId="17" fillId="0" borderId="22" xfId="11" applyBorder="1"/>
    <xf numFmtId="0" fontId="17" fillId="0" borderId="23" xfId="11" applyBorder="1"/>
    <xf numFmtId="0" fontId="17" fillId="0" borderId="1" xfId="11" applyBorder="1"/>
    <xf numFmtId="0" fontId="36" fillId="0" borderId="3" xfId="20" applyFont="1" applyBorder="1"/>
    <xf numFmtId="0" fontId="36" fillId="0" borderId="4" xfId="20" applyFont="1" applyBorder="1"/>
    <xf numFmtId="0" fontId="37" fillId="2" borderId="0" xfId="20" applyFont="1" applyFill="1"/>
    <xf numFmtId="0" fontId="38" fillId="2" borderId="0" xfId="20" applyFont="1" applyFill="1"/>
    <xf numFmtId="0" fontId="39" fillId="2" borderId="0" xfId="20" applyFont="1" applyFill="1"/>
    <xf numFmtId="0" fontId="37" fillId="2" borderId="0" xfId="20" applyFont="1" applyFill="1" applyProtection="1">
      <protection locked="0"/>
    </xf>
    <xf numFmtId="0" fontId="36" fillId="0" borderId="13" xfId="20" applyFont="1" applyBorder="1"/>
    <xf numFmtId="0" fontId="36" fillId="0" borderId="0" xfId="20" applyFont="1"/>
    <xf numFmtId="0" fontId="22" fillId="2" borderId="0" xfId="20" applyFill="1"/>
    <xf numFmtId="0" fontId="36" fillId="0" borderId="6" xfId="20" applyFont="1" applyBorder="1"/>
    <xf numFmtId="0" fontId="36" fillId="0" borderId="2" xfId="20" applyFont="1" applyBorder="1"/>
    <xf numFmtId="0" fontId="37" fillId="0" borderId="14" xfId="20" applyFont="1" applyBorder="1"/>
    <xf numFmtId="0" fontId="41" fillId="2" borderId="0" xfId="20" applyFont="1" applyFill="1"/>
    <xf numFmtId="0" fontId="37" fillId="0" borderId="13" xfId="20" applyFont="1" applyBorder="1"/>
    <xf numFmtId="0" fontId="37" fillId="0" borderId="0" xfId="20" applyFont="1" applyProtection="1">
      <protection locked="0"/>
    </xf>
    <xf numFmtId="166" fontId="42" fillId="2" borderId="0" xfId="20" applyNumberFormat="1" applyFont="1" applyFill="1" applyAlignment="1">
      <alignment horizontal="center"/>
    </xf>
    <xf numFmtId="0" fontId="43" fillId="3" borderId="20" xfId="0" applyFont="1" applyFill="1" applyBorder="1" applyAlignment="1">
      <alignment horizontal="center"/>
    </xf>
    <xf numFmtId="0" fontId="22" fillId="3" borderId="20" xfId="0" applyFont="1" applyFill="1" applyBorder="1" applyAlignment="1" applyProtection="1">
      <alignment horizontal="center"/>
      <protection locked="0"/>
    </xf>
    <xf numFmtId="166" fontId="22" fillId="3" borderId="20" xfId="0" applyNumberFormat="1" applyFont="1" applyFill="1" applyBorder="1" applyAlignment="1" applyProtection="1">
      <alignment horizontal="center"/>
      <protection locked="0"/>
    </xf>
    <xf numFmtId="164" fontId="22" fillId="3" borderId="20" xfId="0" applyNumberFormat="1" applyFont="1" applyFill="1" applyBorder="1" applyAlignment="1" applyProtection="1">
      <alignment horizontal="center"/>
      <protection locked="0"/>
    </xf>
    <xf numFmtId="0" fontId="17" fillId="0" borderId="3" xfId="11" applyBorder="1"/>
    <xf numFmtId="0" fontId="17" fillId="0" borderId="4" xfId="11" applyBorder="1"/>
    <xf numFmtId="0" fontId="17" fillId="0" borderId="5" xfId="11" applyBorder="1"/>
    <xf numFmtId="0" fontId="27" fillId="0" borderId="15" xfId="0" applyFont="1" applyBorder="1" applyProtection="1">
      <protection locked="0"/>
    </xf>
    <xf numFmtId="0" fontId="15" fillId="0" borderId="0" xfId="11" applyFont="1"/>
    <xf numFmtId="0" fontId="17" fillId="0" borderId="14" xfId="11" applyBorder="1"/>
    <xf numFmtId="0" fontId="17" fillId="0" borderId="13" xfId="11" applyBorder="1"/>
    <xf numFmtId="0" fontId="34" fillId="0" borderId="0" xfId="11" applyFont="1"/>
    <xf numFmtId="0" fontId="15" fillId="0" borderId="0" xfId="11" applyFont="1" applyAlignment="1">
      <alignment horizontal="right"/>
    </xf>
    <xf numFmtId="0" fontId="17" fillId="0" borderId="0" xfId="11" applyAlignment="1">
      <alignment horizontal="right"/>
    </xf>
    <xf numFmtId="0" fontId="34" fillId="0" borderId="0" xfId="11" applyFont="1" applyAlignment="1">
      <alignment horizontal="right"/>
    </xf>
    <xf numFmtId="2" fontId="31" fillId="0" borderId="0" xfId="11" applyNumberFormat="1" applyFont="1"/>
    <xf numFmtId="0" fontId="17" fillId="0" borderId="6" xfId="11" applyBorder="1"/>
    <xf numFmtId="0" fontId="17" fillId="0" borderId="2" xfId="11" applyBorder="1"/>
    <xf numFmtId="0" fontId="31" fillId="0" borderId="2" xfId="11" applyFont="1" applyBorder="1"/>
    <xf numFmtId="0" fontId="17" fillId="0" borderId="7" xfId="11" applyBorder="1"/>
    <xf numFmtId="178" fontId="22" fillId="0" borderId="20" xfId="11" applyNumberFormat="1" applyFont="1" applyBorder="1" applyAlignment="1">
      <alignment horizontal="center"/>
    </xf>
    <xf numFmtId="177" fontId="22" fillId="0" borderId="20" xfId="11" applyNumberFormat="1" applyFont="1" applyBorder="1" applyAlignment="1">
      <alignment horizontal="center"/>
    </xf>
    <xf numFmtId="179" fontId="22" fillId="0" borderId="20" xfId="11" applyNumberFormat="1" applyFont="1" applyBorder="1" applyAlignment="1">
      <alignment horizontal="center"/>
    </xf>
    <xf numFmtId="180" fontId="22" fillId="0" borderId="20" xfId="11" applyNumberFormat="1" applyFont="1" applyBorder="1" applyAlignment="1">
      <alignment horizontal="center"/>
    </xf>
    <xf numFmtId="176" fontId="22" fillId="0" borderId="20" xfId="11" applyNumberFormat="1" applyFont="1" applyBorder="1" applyAlignment="1">
      <alignment horizontal="center"/>
    </xf>
    <xf numFmtId="181" fontId="22" fillId="0" borderId="20" xfId="11" applyNumberFormat="1" applyFont="1" applyBorder="1" applyAlignment="1">
      <alignment horizontal="center"/>
    </xf>
    <xf numFmtId="166" fontId="26" fillId="0" borderId="20" xfId="11" applyNumberFormat="1" applyFont="1" applyBorder="1" applyAlignment="1">
      <alignment horizontal="center"/>
    </xf>
    <xf numFmtId="0" fontId="22" fillId="0" borderId="0" xfId="11" applyFont="1" applyAlignment="1">
      <alignment horizontal="center"/>
    </xf>
    <xf numFmtId="0" fontId="22" fillId="0" borderId="0" xfId="11" applyFont="1"/>
    <xf numFmtId="166" fontId="22" fillId="0" borderId="0" xfId="11" applyNumberFormat="1" applyFont="1" applyAlignment="1">
      <alignment horizontal="center"/>
    </xf>
    <xf numFmtId="0" fontId="0" fillId="4" borderId="20" xfId="0" applyFill="1" applyBorder="1" applyAlignment="1">
      <alignment horizontal="center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top"/>
    </xf>
    <xf numFmtId="0" fontId="45" fillId="0" borderId="0" xfId="0" applyFont="1" applyAlignment="1">
      <alignment horizontal="center"/>
    </xf>
    <xf numFmtId="0" fontId="22" fillId="0" borderId="2" xfId="20" applyBorder="1" applyAlignment="1" applyProtection="1">
      <alignment horizontal="center"/>
      <protection locked="0"/>
    </xf>
    <xf numFmtId="174" fontId="22" fillId="3" borderId="20" xfId="0" applyNumberFormat="1" applyFont="1" applyFill="1" applyBorder="1" applyAlignment="1">
      <alignment horizontal="center"/>
    </xf>
    <xf numFmtId="175" fontId="22" fillId="3" borderId="20" xfId="0" applyNumberFormat="1" applyFont="1" applyFill="1" applyBorder="1" applyAlignment="1" applyProtection="1">
      <alignment horizontal="center"/>
      <protection locked="0"/>
    </xf>
    <xf numFmtId="167" fontId="22" fillId="3" borderId="20" xfId="0" applyNumberFormat="1" applyFont="1" applyFill="1" applyBorder="1" applyAlignment="1" applyProtection="1">
      <alignment horizontal="center"/>
      <protection locked="0"/>
    </xf>
    <xf numFmtId="175" fontId="26" fillId="3" borderId="20" xfId="0" applyNumberFormat="1" applyFont="1" applyFill="1" applyBorder="1" applyAlignment="1" applyProtection="1">
      <alignment horizontal="center"/>
      <protection locked="0"/>
    </xf>
    <xf numFmtId="0" fontId="22" fillId="0" borderId="14" xfId="20" applyBorder="1"/>
    <xf numFmtId="0" fontId="22" fillId="0" borderId="2" xfId="20" applyBorder="1" applyAlignment="1">
      <alignment horizontal="center"/>
    </xf>
    <xf numFmtId="1" fontId="22" fillId="3" borderId="20" xfId="20" applyNumberFormat="1" applyFill="1" applyBorder="1" applyAlignment="1" applyProtection="1">
      <alignment horizontal="center"/>
      <protection locked="0"/>
    </xf>
    <xf numFmtId="168" fontId="22" fillId="3" borderId="20" xfId="20" applyNumberFormat="1" applyFill="1" applyBorder="1" applyAlignment="1" applyProtection="1">
      <alignment horizontal="center"/>
      <protection locked="0"/>
    </xf>
    <xf numFmtId="0" fontId="26" fillId="0" borderId="0" xfId="20" applyFont="1" applyAlignment="1">
      <alignment horizontal="right"/>
    </xf>
    <xf numFmtId="0" fontId="26" fillId="0" borderId="2" xfId="20" applyFont="1" applyBorder="1" applyAlignment="1">
      <alignment horizontal="center"/>
    </xf>
    <xf numFmtId="0" fontId="22" fillId="0" borderId="0" xfId="20" quotePrefix="1" applyAlignment="1">
      <alignment horizontal="center"/>
    </xf>
    <xf numFmtId="170" fontId="22" fillId="0" borderId="0" xfId="31" applyNumberFormat="1" applyFont="1" applyAlignment="1" applyProtection="1">
      <alignment horizontal="center"/>
      <protection locked="0"/>
    </xf>
    <xf numFmtId="168" fontId="22" fillId="0" borderId="0" xfId="20" applyNumberFormat="1" applyAlignment="1" applyProtection="1">
      <alignment horizontal="center"/>
      <protection locked="0"/>
    </xf>
    <xf numFmtId="170" fontId="22" fillId="0" borderId="0" xfId="20" quotePrefix="1" applyNumberFormat="1" applyAlignment="1" applyProtection="1">
      <alignment horizontal="center"/>
      <protection locked="0"/>
    </xf>
    <xf numFmtId="170" fontId="22" fillId="0" borderId="0" xfId="20" applyNumberFormat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64" fontId="25" fillId="0" borderId="0" xfId="0" applyNumberFormat="1" applyFont="1" applyAlignment="1">
      <alignment horizontal="left"/>
    </xf>
    <xf numFmtId="167" fontId="25" fillId="0" borderId="0" xfId="0" applyNumberFormat="1" applyFont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2" fillId="0" borderId="0" xfId="0" quotePrefix="1" applyFont="1" applyAlignment="1" applyProtection="1">
      <alignment horizontal="center"/>
      <protection locked="0"/>
    </xf>
    <xf numFmtId="2" fontId="22" fillId="3" borderId="20" xfId="0" applyNumberFormat="1" applyFont="1" applyFill="1" applyBorder="1" applyAlignment="1" applyProtection="1">
      <alignment horizontal="center"/>
      <protection locked="0"/>
    </xf>
    <xf numFmtId="164" fontId="22" fillId="0" borderId="0" xfId="0" applyNumberFormat="1" applyFont="1" applyAlignment="1">
      <alignment horizontal="left"/>
    </xf>
    <xf numFmtId="167" fontId="22" fillId="0" borderId="0" xfId="0" applyNumberFormat="1" applyFont="1" applyAlignment="1">
      <alignment horizontal="left"/>
    </xf>
    <xf numFmtId="175" fontId="22" fillId="0" borderId="0" xfId="0" applyNumberFormat="1" applyFont="1" applyAlignment="1">
      <alignment horizontal="left"/>
    </xf>
    <xf numFmtId="0" fontId="22" fillId="0" borderId="13" xfId="0" applyFont="1" applyBorder="1" applyProtection="1">
      <protection locked="0"/>
    </xf>
    <xf numFmtId="2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66" fontId="26" fillId="0" borderId="0" xfId="0" applyNumberFormat="1" applyFont="1" applyAlignment="1">
      <alignment horizontal="center"/>
    </xf>
    <xf numFmtId="182" fontId="26" fillId="0" borderId="12" xfId="0" applyNumberFormat="1" applyFont="1" applyBorder="1" applyAlignment="1">
      <alignment horizontal="center"/>
    </xf>
    <xf numFmtId="0" fontId="15" fillId="0" borderId="14" xfId="11" applyFont="1" applyBorder="1"/>
    <xf numFmtId="164" fontId="22" fillId="0" borderId="0" xfId="0" applyNumberFormat="1" applyFont="1" applyAlignment="1">
      <alignment horizontal="center"/>
    </xf>
    <xf numFmtId="164" fontId="31" fillId="0" borderId="0" xfId="0" applyNumberFormat="1" applyFont="1" applyAlignment="1">
      <alignment horizontal="center"/>
    </xf>
    <xf numFmtId="173" fontId="0" fillId="0" borderId="0" xfId="1" applyNumberFormat="1" applyFont="1" applyBorder="1" applyProtection="1">
      <protection locked="0"/>
    </xf>
    <xf numFmtId="0" fontId="22" fillId="0" borderId="0" xfId="0" applyFont="1" applyAlignment="1" applyProtection="1">
      <alignment horizontal="left"/>
      <protection locked="0"/>
    </xf>
    <xf numFmtId="164" fontId="26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center"/>
    </xf>
    <xf numFmtId="0" fontId="0" fillId="0" borderId="0" xfId="0" applyAlignment="1" applyProtection="1">
      <alignment horizontal="left"/>
      <protection locked="0"/>
    </xf>
    <xf numFmtId="167" fontId="24" fillId="0" borderId="0" xfId="0" applyNumberFormat="1" applyFont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3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22" fillId="2" borderId="0" xfId="0" applyFont="1" applyFill="1" applyProtection="1">
      <protection locked="0"/>
    </xf>
    <xf numFmtId="167" fontId="22" fillId="2" borderId="13" xfId="0" applyNumberFormat="1" applyFont="1" applyFill="1" applyBorder="1" applyAlignment="1" applyProtection="1">
      <alignment horizontal="center"/>
      <protection locked="0"/>
    </xf>
    <xf numFmtId="164" fontId="22" fillId="2" borderId="14" xfId="0" applyNumberFormat="1" applyFont="1" applyFill="1" applyBorder="1" applyAlignment="1">
      <alignment horizontal="center"/>
    </xf>
    <xf numFmtId="164" fontId="22" fillId="2" borderId="3" xfId="0" applyNumberFormat="1" applyFont="1" applyFill="1" applyBorder="1" applyAlignment="1" applyProtection="1">
      <alignment horizontal="center"/>
      <protection locked="0"/>
    </xf>
    <xf numFmtId="164" fontId="22" fillId="2" borderId="5" xfId="0" applyNumberFormat="1" applyFont="1" applyFill="1" applyBorder="1" applyAlignment="1">
      <alignment horizontal="center"/>
    </xf>
    <xf numFmtId="167" fontId="22" fillId="2" borderId="17" xfId="0" applyNumberFormat="1" applyFont="1" applyFill="1" applyBorder="1" applyAlignment="1">
      <alignment horizontal="center"/>
    </xf>
    <xf numFmtId="164" fontId="22" fillId="2" borderId="18" xfId="0" applyNumberFormat="1" applyFont="1" applyFill="1" applyBorder="1" applyAlignment="1">
      <alignment horizontal="center"/>
    </xf>
    <xf numFmtId="167" fontId="22" fillId="2" borderId="13" xfId="0" applyNumberFormat="1" applyFont="1" applyFill="1" applyBorder="1" applyAlignment="1">
      <alignment horizontal="center"/>
    </xf>
    <xf numFmtId="167" fontId="22" fillId="2" borderId="3" xfId="0" applyNumberFormat="1" applyFont="1" applyFill="1" applyBorder="1" applyAlignment="1">
      <alignment horizontal="center"/>
    </xf>
    <xf numFmtId="167" fontId="22" fillId="2" borderId="6" xfId="0" applyNumberFormat="1" applyFont="1" applyFill="1" applyBorder="1" applyAlignment="1">
      <alignment horizontal="center"/>
    </xf>
    <xf numFmtId="164" fontId="22" fillId="2" borderId="7" xfId="0" applyNumberFormat="1" applyFont="1" applyFill="1" applyBorder="1" applyAlignment="1" applyProtection="1">
      <alignment horizontal="center"/>
      <protection locked="0"/>
    </xf>
    <xf numFmtId="0" fontId="22" fillId="2" borderId="5" xfId="0" applyFont="1" applyFill="1" applyBorder="1" applyAlignment="1" applyProtection="1">
      <alignment horizontal="center"/>
      <protection locked="0"/>
    </xf>
    <xf numFmtId="167" fontId="22" fillId="2" borderId="0" xfId="0" applyNumberFormat="1" applyFont="1" applyFill="1" applyAlignment="1" applyProtection="1">
      <alignment horizontal="center"/>
      <protection locked="0"/>
    </xf>
    <xf numFmtId="164" fontId="22" fillId="2" borderId="0" xfId="0" applyNumberFormat="1" applyFont="1" applyFill="1" applyAlignment="1" applyProtection="1">
      <alignment horizontal="center"/>
      <protection locked="0"/>
    </xf>
    <xf numFmtId="164" fontId="22" fillId="2" borderId="5" xfId="0" applyNumberFormat="1" applyFont="1" applyFill="1" applyBorder="1" applyAlignment="1" applyProtection="1">
      <alignment horizontal="center"/>
      <protection locked="0"/>
    </xf>
    <xf numFmtId="166" fontId="22" fillId="2" borderId="0" xfId="0" applyNumberFormat="1" applyFont="1" applyFill="1" applyAlignment="1" applyProtection="1">
      <alignment horizontal="center"/>
      <protection locked="0"/>
    </xf>
    <xf numFmtId="166" fontId="0" fillId="2" borderId="0" xfId="0" applyNumberFormat="1" applyFill="1" applyAlignment="1" applyProtection="1">
      <alignment horizontal="center"/>
      <protection locked="0"/>
    </xf>
    <xf numFmtId="164" fontId="22" fillId="2" borderId="7" xfId="0" applyNumberFormat="1" applyFont="1" applyFill="1" applyBorder="1" applyAlignment="1">
      <alignment horizontal="center"/>
    </xf>
    <xf numFmtId="0" fontId="17" fillId="2" borderId="0" xfId="11" applyFill="1"/>
    <xf numFmtId="0" fontId="17" fillId="2" borderId="0" xfId="11" applyFill="1" applyAlignment="1">
      <alignment horizontal="center"/>
    </xf>
    <xf numFmtId="0" fontId="22" fillId="2" borderId="0" xfId="11" applyFont="1" applyFill="1"/>
    <xf numFmtId="0" fontId="22" fillId="2" borderId="0" xfId="11" applyFont="1" applyFill="1" applyAlignment="1">
      <alignment horizontal="center"/>
    </xf>
    <xf numFmtId="0" fontId="22" fillId="2" borderId="14" xfId="11" applyFont="1" applyFill="1" applyBorder="1"/>
    <xf numFmtId="0" fontId="22" fillId="2" borderId="18" xfId="11" applyFont="1" applyFill="1" applyBorder="1" applyAlignment="1">
      <alignment horizontal="center"/>
    </xf>
    <xf numFmtId="166" fontId="22" fillId="2" borderId="20" xfId="11" applyNumberFormat="1" applyFont="1" applyFill="1" applyBorder="1" applyAlignment="1">
      <alignment horizontal="center"/>
    </xf>
    <xf numFmtId="0" fontId="22" fillId="2" borderId="20" xfId="11" applyFont="1" applyFill="1" applyBorder="1" applyAlignment="1">
      <alignment horizontal="center"/>
    </xf>
    <xf numFmtId="0" fontId="31" fillId="2" borderId="0" xfId="11" applyFont="1" applyFill="1"/>
    <xf numFmtId="0" fontId="31" fillId="2" borderId="0" xfId="11" applyFont="1" applyFill="1" applyAlignment="1">
      <alignment horizontal="center"/>
    </xf>
    <xf numFmtId="0" fontId="22" fillId="2" borderId="3" xfId="0" applyFont="1" applyFill="1" applyBorder="1" applyProtection="1">
      <protection locked="0"/>
    </xf>
    <xf numFmtId="0" fontId="0" fillId="2" borderId="4" xfId="0" applyFill="1" applyBorder="1" applyProtection="1">
      <protection locked="0"/>
    </xf>
    <xf numFmtId="164" fontId="22" fillId="2" borderId="4" xfId="0" applyNumberFormat="1" applyFont="1" applyFill="1" applyBorder="1" applyAlignment="1">
      <alignment horizontal="center"/>
    </xf>
    <xf numFmtId="165" fontId="22" fillId="2" borderId="5" xfId="0" applyNumberFormat="1" applyFont="1" applyFill="1" applyBorder="1" applyAlignment="1">
      <alignment horizontal="center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164" fontId="22" fillId="2" borderId="0" xfId="0" applyNumberFormat="1" applyFont="1" applyFill="1" applyAlignment="1">
      <alignment horizontal="center"/>
    </xf>
    <xf numFmtId="165" fontId="22" fillId="2" borderId="14" xfId="0" applyNumberFormat="1" applyFont="1" applyFill="1" applyBorder="1" applyAlignment="1">
      <alignment horizontal="center"/>
    </xf>
    <xf numFmtId="166" fontId="22" fillId="2" borderId="13" xfId="0" applyNumberFormat="1" applyFont="1" applyFill="1" applyBorder="1" applyAlignment="1">
      <alignment horizontal="center"/>
    </xf>
    <xf numFmtId="164" fontId="22" fillId="2" borderId="2" xfId="0" applyNumberFormat="1" applyFont="1" applyFill="1" applyBorder="1" applyAlignment="1">
      <alignment horizontal="center"/>
    </xf>
    <xf numFmtId="165" fontId="22" fillId="2" borderId="7" xfId="0" applyNumberFormat="1" applyFont="1" applyFill="1" applyBorder="1" applyAlignment="1">
      <alignment horizontal="center"/>
    </xf>
    <xf numFmtId="0" fontId="22" fillId="2" borderId="13" xfId="0" applyFont="1" applyFill="1" applyBorder="1" applyAlignment="1" applyProtection="1">
      <alignment horizontal="center"/>
      <protection locked="0"/>
    </xf>
    <xf numFmtId="0" fontId="22" fillId="2" borderId="0" xfId="0" quotePrefix="1" applyFont="1" applyFill="1" applyProtection="1">
      <protection locked="0"/>
    </xf>
    <xf numFmtId="165" fontId="22" fillId="2" borderId="13" xfId="0" applyNumberFormat="1" applyFont="1" applyFill="1" applyBorder="1" applyAlignment="1" applyProtection="1">
      <alignment horizontal="center"/>
      <protection locked="0"/>
    </xf>
    <xf numFmtId="0" fontId="22" fillId="2" borderId="13" xfId="0" applyFont="1" applyFill="1" applyBorder="1" applyProtection="1">
      <protection locked="0"/>
    </xf>
    <xf numFmtId="166" fontId="26" fillId="2" borderId="17" xfId="0" applyNumberFormat="1" applyFont="1" applyFill="1" applyBorder="1" applyAlignment="1">
      <alignment horizontal="center"/>
    </xf>
    <xf numFmtId="0" fontId="26" fillId="2" borderId="18" xfId="0" quotePrefix="1" applyFont="1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166" fontId="22" fillId="2" borderId="14" xfId="0" applyNumberFormat="1" applyFont="1" applyFill="1" applyBorder="1" applyAlignment="1">
      <alignment horizontal="center"/>
    </xf>
    <xf numFmtId="166" fontId="22" fillId="2" borderId="18" xfId="0" applyNumberFormat="1" applyFont="1" applyFill="1" applyBorder="1" applyAlignment="1">
      <alignment horizontal="center"/>
    </xf>
    <xf numFmtId="164" fontId="22" fillId="2" borderId="19" xfId="0" applyNumberFormat="1" applyFont="1" applyFill="1" applyBorder="1" applyAlignment="1">
      <alignment horizontal="center"/>
    </xf>
    <xf numFmtId="166" fontId="22" fillId="2" borderId="5" xfId="0" applyNumberFormat="1" applyFont="1" applyFill="1" applyBorder="1" applyAlignment="1">
      <alignment horizontal="center"/>
    </xf>
    <xf numFmtId="166" fontId="22" fillId="2" borderId="7" xfId="0" applyNumberFormat="1" applyFont="1" applyFill="1" applyBorder="1" applyAlignment="1">
      <alignment horizontal="center"/>
    </xf>
    <xf numFmtId="167" fontId="25" fillId="2" borderId="0" xfId="0" applyNumberFormat="1" applyFont="1" applyFill="1" applyAlignment="1">
      <alignment horizontal="center"/>
    </xf>
    <xf numFmtId="165" fontId="24" fillId="2" borderId="0" xfId="0" applyNumberFormat="1" applyFont="1" applyFill="1" applyAlignment="1">
      <alignment horizontal="center"/>
    </xf>
    <xf numFmtId="164" fontId="25" fillId="2" borderId="0" xfId="0" applyNumberFormat="1" applyFont="1" applyFill="1" applyAlignment="1">
      <alignment horizontal="center"/>
    </xf>
    <xf numFmtId="170" fontId="26" fillId="0" borderId="0" xfId="20" applyNumberFormat="1" applyFont="1" applyAlignment="1">
      <alignment horizontal="center"/>
    </xf>
    <xf numFmtId="0" fontId="22" fillId="0" borderId="14" xfId="0" applyFont="1" applyBorder="1" applyProtection="1">
      <protection locked="0"/>
    </xf>
    <xf numFmtId="0" fontId="26" fillId="0" borderId="0" xfId="20" applyFont="1"/>
    <xf numFmtId="170" fontId="22" fillId="0" borderId="0" xfId="20" applyNumberFormat="1" applyAlignment="1">
      <alignment horizontal="center"/>
    </xf>
    <xf numFmtId="0" fontId="22" fillId="0" borderId="0" xfId="0" applyFont="1" applyAlignment="1" applyProtection="1">
      <alignment horizontal="center"/>
      <protection locked="0"/>
    </xf>
    <xf numFmtId="0" fontId="22" fillId="0" borderId="6" xfId="0" applyFont="1" applyBorder="1" applyAlignment="1" applyProtection="1">
      <alignment horizontal="center"/>
      <protection locked="0"/>
    </xf>
    <xf numFmtId="0" fontId="22" fillId="0" borderId="13" xfId="0" applyFont="1" applyBorder="1" applyAlignment="1">
      <alignment horizontal="center"/>
    </xf>
    <xf numFmtId="170" fontId="22" fillId="0" borderId="0" xfId="0" applyNumberFormat="1" applyFont="1" applyAlignment="1">
      <alignment horizontal="center"/>
    </xf>
    <xf numFmtId="170" fontId="26" fillId="0" borderId="0" xfId="0" applyNumberFormat="1" applyFont="1" applyAlignment="1">
      <alignment horizontal="center"/>
    </xf>
    <xf numFmtId="0" fontId="22" fillId="0" borderId="6" xfId="0" applyFont="1" applyBorder="1" applyProtection="1">
      <protection locked="0"/>
    </xf>
    <xf numFmtId="0" fontId="22" fillId="0" borderId="2" xfId="0" applyFont="1" applyBorder="1" applyProtection="1">
      <protection locked="0"/>
    </xf>
    <xf numFmtId="0" fontId="22" fillId="0" borderId="7" xfId="0" applyFont="1" applyBorder="1" applyProtection="1">
      <protection locked="0"/>
    </xf>
    <xf numFmtId="170" fontId="46" fillId="2" borderId="0" xfId="20" applyNumberFormat="1" applyFont="1" applyFill="1" applyAlignment="1">
      <alignment horizontal="center"/>
    </xf>
    <xf numFmtId="0" fontId="22" fillId="2" borderId="0" xfId="20" applyFill="1" applyProtection="1">
      <protection locked="0"/>
    </xf>
    <xf numFmtId="0" fontId="37" fillId="2" borderId="0" xfId="20" applyFont="1" applyFill="1" applyAlignment="1" applyProtection="1">
      <alignment vertical="center"/>
      <protection locked="0"/>
    </xf>
    <xf numFmtId="170" fontId="22" fillId="3" borderId="20" xfId="31" applyNumberFormat="1" applyFont="1" applyFill="1" applyBorder="1" applyAlignment="1" applyProtection="1">
      <alignment horizontal="center"/>
      <protection locked="0"/>
    </xf>
    <xf numFmtId="9" fontId="22" fillId="0" borderId="14" xfId="1" applyFont="1" applyBorder="1" applyAlignment="1">
      <alignment horizontal="center"/>
    </xf>
    <xf numFmtId="0" fontId="15" fillId="0" borderId="3" xfId="20" applyFont="1" applyBorder="1"/>
    <xf numFmtId="0" fontId="15" fillId="0" borderId="4" xfId="20" applyFont="1" applyBorder="1"/>
    <xf numFmtId="0" fontId="15" fillId="0" borderId="17" xfId="20" applyFont="1" applyBorder="1" applyAlignment="1">
      <alignment horizontal="right"/>
    </xf>
    <xf numFmtId="0" fontId="15" fillId="0" borderId="23" xfId="20" applyFont="1" applyBorder="1" applyAlignment="1">
      <alignment horizontal="center"/>
    </xf>
    <xf numFmtId="0" fontId="15" fillId="0" borderId="13" xfId="20" applyFont="1" applyBorder="1"/>
    <xf numFmtId="0" fontId="15" fillId="0" borderId="0" xfId="20" applyFont="1"/>
    <xf numFmtId="0" fontId="22" fillId="0" borderId="18" xfId="20" applyBorder="1" applyAlignment="1">
      <alignment horizontal="center"/>
    </xf>
    <xf numFmtId="0" fontId="15" fillId="0" borderId="6" xfId="20" applyFont="1" applyBorder="1"/>
    <xf numFmtId="0" fontId="15" fillId="0" borderId="2" xfId="20" applyFont="1" applyBorder="1"/>
    <xf numFmtId="0" fontId="22" fillId="2" borderId="0" xfId="20" applyFill="1" applyAlignment="1">
      <alignment horizontal="right" vertical="center"/>
    </xf>
    <xf numFmtId="169" fontId="22" fillId="2" borderId="0" xfId="20" applyNumberFormat="1" applyFill="1" applyAlignment="1">
      <alignment horizontal="center" vertical="center"/>
    </xf>
    <xf numFmtId="0" fontId="22" fillId="0" borderId="20" xfId="20" applyBorder="1" applyAlignment="1">
      <alignment horizontal="center"/>
    </xf>
    <xf numFmtId="0" fontId="15" fillId="0" borderId="17" xfId="20" applyFont="1" applyBorder="1" applyAlignment="1">
      <alignment horizontal="right" vertical="center"/>
    </xf>
    <xf numFmtId="0" fontId="22" fillId="0" borderId="18" xfId="20" applyBorder="1" applyAlignment="1">
      <alignment horizontal="center" vertical="center"/>
    </xf>
    <xf numFmtId="0" fontId="15" fillId="0" borderId="23" xfId="20" applyFont="1" applyBorder="1" applyAlignment="1">
      <alignment horizontal="center" vertical="center"/>
    </xf>
    <xf numFmtId="0" fontId="22" fillId="0" borderId="20" xfId="20" applyBorder="1" applyAlignment="1">
      <alignment horizontal="center" vertical="center"/>
    </xf>
    <xf numFmtId="1" fontId="22" fillId="0" borderId="20" xfId="20" applyNumberFormat="1" applyBorder="1" applyAlignment="1">
      <alignment horizontal="center" vertical="center"/>
    </xf>
    <xf numFmtId="0" fontId="22" fillId="3" borderId="20" xfId="20" applyFill="1" applyBorder="1" applyAlignment="1">
      <alignment horizontal="center" vertical="center"/>
    </xf>
    <xf numFmtId="183" fontId="22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left"/>
    </xf>
    <xf numFmtId="14" fontId="22" fillId="2" borderId="0" xfId="20" applyNumberFormat="1" applyFill="1" applyAlignment="1">
      <alignment horizontal="center" vertical="center"/>
    </xf>
    <xf numFmtId="0" fontId="15" fillId="0" borderId="20" xfId="20" applyFont="1" applyBorder="1" applyAlignment="1">
      <alignment horizontal="right" vertical="center"/>
    </xf>
    <xf numFmtId="184" fontId="22" fillId="0" borderId="20" xfId="20" applyNumberFormat="1" applyBorder="1" applyAlignment="1">
      <alignment horizontal="center" vertical="center"/>
    </xf>
    <xf numFmtId="14" fontId="22" fillId="0" borderId="20" xfId="20" applyNumberFormat="1" applyBorder="1" applyAlignment="1">
      <alignment horizontal="center" vertical="center"/>
    </xf>
    <xf numFmtId="0" fontId="15" fillId="0" borderId="20" xfId="20" applyFont="1" applyBorder="1" applyAlignment="1">
      <alignment horizontal="right"/>
    </xf>
    <xf numFmtId="14" fontId="22" fillId="0" borderId="20" xfId="20" applyNumberFormat="1" applyBorder="1" applyAlignment="1">
      <alignment horizontal="center"/>
    </xf>
    <xf numFmtId="1" fontId="22" fillId="0" borderId="18" xfId="20" applyNumberFormat="1" applyBorder="1" applyAlignment="1">
      <alignment horizontal="center"/>
    </xf>
    <xf numFmtId="169" fontId="22" fillId="3" borderId="20" xfId="0" applyNumberFormat="1" applyFont="1" applyFill="1" applyBorder="1" applyAlignment="1" applyProtection="1">
      <alignment horizontal="center"/>
      <protection locked="0"/>
    </xf>
    <xf numFmtId="174" fontId="22" fillId="2" borderId="3" xfId="0" applyNumberFormat="1" applyFont="1" applyFill="1" applyBorder="1" applyAlignment="1">
      <alignment horizontal="center"/>
    </xf>
    <xf numFmtId="174" fontId="22" fillId="2" borderId="6" xfId="0" applyNumberFormat="1" applyFont="1" applyFill="1" applyBorder="1" applyAlignment="1">
      <alignment horizontal="center"/>
    </xf>
    <xf numFmtId="0" fontId="22" fillId="2" borderId="23" xfId="20" applyFill="1" applyBorder="1"/>
    <xf numFmtId="0" fontId="22" fillId="2" borderId="22" xfId="20" applyFill="1" applyBorder="1" applyAlignment="1">
      <alignment horizontal="center"/>
    </xf>
    <xf numFmtId="0" fontId="22" fillId="2" borderId="21" xfId="20" applyFill="1" applyBorder="1" applyAlignment="1">
      <alignment horizontal="center"/>
    </xf>
    <xf numFmtId="0" fontId="48" fillId="0" borderId="2" xfId="20" applyFont="1" applyBorder="1" applyAlignment="1">
      <alignment horizontal="center"/>
    </xf>
    <xf numFmtId="168" fontId="22" fillId="0" borderId="0" xfId="20" applyNumberFormat="1" applyAlignment="1">
      <alignment horizontal="center"/>
    </xf>
    <xf numFmtId="166" fontId="22" fillId="0" borderId="0" xfId="20" applyNumberFormat="1" applyAlignment="1">
      <alignment horizontal="center"/>
    </xf>
    <xf numFmtId="0" fontId="22" fillId="0" borderId="0" xfId="20" applyAlignment="1">
      <alignment horizontal="center"/>
    </xf>
    <xf numFmtId="0" fontId="22" fillId="0" borderId="0" xfId="20"/>
    <xf numFmtId="0" fontId="37" fillId="0" borderId="0" xfId="20" applyFont="1"/>
    <xf numFmtId="0" fontId="22" fillId="0" borderId="0" xfId="20" applyAlignment="1">
      <alignment horizontal="right"/>
    </xf>
    <xf numFmtId="175" fontId="22" fillId="0" borderId="0" xfId="20" applyNumberFormat="1" applyAlignment="1">
      <alignment horizontal="center"/>
    </xf>
    <xf numFmtId="2" fontId="22" fillId="0" borderId="0" xfId="20" applyNumberFormat="1" applyAlignment="1">
      <alignment horizontal="center"/>
    </xf>
    <xf numFmtId="0" fontId="47" fillId="0" borderId="0" xfId="0" applyFont="1" applyAlignment="1" applyProtection="1">
      <alignment horizontal="right"/>
      <protection locked="0"/>
    </xf>
    <xf numFmtId="0" fontId="22" fillId="0" borderId="0" xfId="20" applyProtection="1">
      <protection locked="0"/>
    </xf>
    <xf numFmtId="182" fontId="46" fillId="0" borderId="0" xfId="20" applyNumberFormat="1" applyFont="1" applyAlignment="1">
      <alignment horizontal="center"/>
    </xf>
    <xf numFmtId="170" fontId="32" fillId="0" borderId="0" xfId="20" applyNumberFormat="1" applyFont="1" applyAlignment="1">
      <alignment horizontal="center"/>
    </xf>
    <xf numFmtId="9" fontId="22" fillId="0" borderId="0" xfId="1" applyFont="1" applyFill="1" applyBorder="1" applyAlignment="1" applyProtection="1">
      <alignment horizontal="center"/>
      <protection locked="0"/>
    </xf>
    <xf numFmtId="170" fontId="46" fillId="0" borderId="0" xfId="20" applyNumberFormat="1" applyFont="1" applyAlignment="1">
      <alignment horizontal="center"/>
    </xf>
    <xf numFmtId="0" fontId="26" fillId="0" borderId="0" xfId="20" applyFont="1" applyAlignment="1">
      <alignment horizontal="center"/>
    </xf>
    <xf numFmtId="0" fontId="22" fillId="0" borderId="0" xfId="20" applyAlignment="1">
      <alignment horizontal="center" vertical="center"/>
    </xf>
    <xf numFmtId="9" fontId="22" fillId="0" borderId="14" xfId="1" applyFont="1" applyFill="1" applyBorder="1" applyAlignment="1" applyProtection="1">
      <alignment horizontal="center"/>
      <protection locked="0"/>
    </xf>
    <xf numFmtId="1" fontId="22" fillId="0" borderId="0" xfId="31" applyNumberFormat="1" applyFont="1" applyAlignment="1" applyProtection="1">
      <alignment horizontal="center"/>
      <protection locked="0"/>
    </xf>
    <xf numFmtId="0" fontId="22" fillId="2" borderId="0" xfId="20" applyFill="1" applyAlignment="1">
      <alignment horizontal="center"/>
    </xf>
    <xf numFmtId="0" fontId="22" fillId="2" borderId="0" xfId="20" applyFill="1" applyAlignment="1">
      <alignment horizontal="center" vertical="center" textRotation="90"/>
    </xf>
    <xf numFmtId="0" fontId="22" fillId="2" borderId="0" xfId="20" applyFill="1" applyAlignment="1">
      <alignment horizontal="left"/>
    </xf>
    <xf numFmtId="0" fontId="22" fillId="0" borderId="2" xfId="20" applyBorder="1"/>
    <xf numFmtId="0" fontId="22" fillId="0" borderId="7" xfId="20" applyBorder="1"/>
    <xf numFmtId="170" fontId="22" fillId="0" borderId="2" xfId="20" applyNumberFormat="1" applyBorder="1" applyAlignment="1">
      <alignment horizontal="center"/>
    </xf>
    <xf numFmtId="0" fontId="22" fillId="0" borderId="13" xfId="20" applyBorder="1"/>
    <xf numFmtId="0" fontId="22" fillId="0" borderId="6" xfId="20" applyBorder="1"/>
    <xf numFmtId="2" fontId="22" fillId="3" borderId="20" xfId="20" applyNumberFormat="1" applyFill="1" applyBorder="1" applyAlignment="1">
      <alignment horizontal="center"/>
    </xf>
    <xf numFmtId="2" fontId="22" fillId="3" borderId="20" xfId="20" applyNumberFormat="1" applyFill="1" applyBorder="1"/>
    <xf numFmtId="185" fontId="22" fillId="0" borderId="0" xfId="20" applyNumberFormat="1" applyAlignment="1">
      <alignment horizontal="center"/>
    </xf>
    <xf numFmtId="171" fontId="22" fillId="0" borderId="0" xfId="20" applyNumberFormat="1" applyAlignment="1">
      <alignment horizontal="center"/>
    </xf>
    <xf numFmtId="173" fontId="22" fillId="0" borderId="0" xfId="1" applyNumberFormat="1" applyFont="1" applyBorder="1" applyAlignment="1" applyProtection="1">
      <alignment horizontal="center"/>
    </xf>
    <xf numFmtId="186" fontId="22" fillId="0" borderId="0" xfId="20" applyNumberFormat="1" applyAlignment="1">
      <alignment horizontal="center"/>
    </xf>
    <xf numFmtId="1" fontId="22" fillId="0" borderId="0" xfId="20" applyNumberFormat="1" applyAlignment="1">
      <alignment horizontal="center"/>
    </xf>
    <xf numFmtId="187" fontId="22" fillId="0" borderId="0" xfId="20" applyNumberFormat="1" applyAlignment="1" applyProtection="1">
      <alignment horizontal="center"/>
      <protection locked="0"/>
    </xf>
    <xf numFmtId="187" fontId="22" fillId="0" borderId="2" xfId="20" applyNumberFormat="1" applyBorder="1" applyAlignment="1" applyProtection="1">
      <alignment horizontal="center"/>
      <protection locked="0"/>
    </xf>
    <xf numFmtId="168" fontId="22" fillId="0" borderId="2" xfId="20" applyNumberFormat="1" applyBorder="1" applyAlignment="1">
      <alignment horizontal="center"/>
    </xf>
    <xf numFmtId="170" fontId="22" fillId="0" borderId="2" xfId="20" applyNumberFormat="1" applyBorder="1" applyAlignment="1" applyProtection="1">
      <alignment horizontal="center"/>
      <protection locked="0"/>
    </xf>
    <xf numFmtId="186" fontId="22" fillId="0" borderId="2" xfId="20" applyNumberFormat="1" applyBorder="1" applyAlignment="1">
      <alignment horizontal="center"/>
    </xf>
    <xf numFmtId="166" fontId="22" fillId="0" borderId="2" xfId="20" applyNumberFormat="1" applyBorder="1" applyAlignment="1">
      <alignment horizontal="center"/>
    </xf>
    <xf numFmtId="170" fontId="26" fillId="0" borderId="2" xfId="20" applyNumberFormat="1" applyFont="1" applyBorder="1" applyAlignment="1">
      <alignment horizontal="center"/>
    </xf>
    <xf numFmtId="182" fontId="22" fillId="0" borderId="0" xfId="20" applyNumberFormat="1" applyAlignment="1">
      <alignment horizontal="center"/>
    </xf>
    <xf numFmtId="0" fontId="22" fillId="0" borderId="2" xfId="20" applyBorder="1" applyAlignment="1">
      <alignment horizontal="center" vertical="center"/>
    </xf>
    <xf numFmtId="0" fontId="22" fillId="0" borderId="7" xfId="20" applyBorder="1" applyAlignment="1">
      <alignment horizontal="center" vertical="center"/>
    </xf>
    <xf numFmtId="9" fontId="22" fillId="0" borderId="0" xfId="1" applyFont="1" applyBorder="1" applyAlignment="1">
      <alignment horizontal="center"/>
    </xf>
    <xf numFmtId="0" fontId="26" fillId="0" borderId="0" xfId="20" applyFont="1" applyAlignment="1">
      <alignment horizontal="center" vertical="center"/>
    </xf>
    <xf numFmtId="0" fontId="22" fillId="0" borderId="0" xfId="20" applyAlignment="1" applyProtection="1">
      <alignment horizontal="center" vertical="center"/>
      <protection locked="0"/>
    </xf>
    <xf numFmtId="168" fontId="22" fillId="0" borderId="2" xfId="20" applyNumberFormat="1" applyBorder="1" applyAlignment="1">
      <alignment horizontal="center" vertical="center"/>
    </xf>
    <xf numFmtId="0" fontId="22" fillId="0" borderId="2" xfId="20" applyBorder="1" applyAlignment="1" applyProtection="1">
      <alignment horizontal="center" vertical="center"/>
      <protection locked="0"/>
    </xf>
    <xf numFmtId="0" fontId="22" fillId="0" borderId="0" xfId="20" quotePrefix="1" applyAlignment="1">
      <alignment horizontal="center" vertical="center"/>
    </xf>
    <xf numFmtId="1" fontId="22" fillId="0" borderId="0" xfId="20" applyNumberFormat="1" applyAlignment="1">
      <alignment horizontal="center" vertical="center"/>
    </xf>
    <xf numFmtId="1" fontId="22" fillId="0" borderId="0" xfId="31" applyNumberFormat="1" applyFont="1" applyAlignment="1">
      <alignment horizontal="center" vertical="center"/>
    </xf>
    <xf numFmtId="9" fontId="22" fillId="0" borderId="0" xfId="1" applyFont="1" applyFill="1" applyBorder="1" applyAlignment="1" applyProtection="1">
      <alignment horizontal="center" vertical="center"/>
    </xf>
    <xf numFmtId="166" fontId="22" fillId="0" borderId="0" xfId="20" applyNumberFormat="1" applyAlignment="1">
      <alignment horizontal="center" vertical="center"/>
    </xf>
    <xf numFmtId="1" fontId="22" fillId="0" borderId="0" xfId="20" applyNumberFormat="1" applyAlignment="1" applyProtection="1">
      <alignment horizontal="center" vertical="center"/>
      <protection locked="0"/>
    </xf>
    <xf numFmtId="1" fontId="22" fillId="0" borderId="2" xfId="20" applyNumberFormat="1" applyBorder="1" applyAlignment="1" applyProtection="1">
      <alignment horizontal="center" vertical="center"/>
      <protection locked="0"/>
    </xf>
    <xf numFmtId="1" fontId="22" fillId="0" borderId="2" xfId="20" applyNumberFormat="1" applyBorder="1" applyAlignment="1">
      <alignment horizontal="center" vertical="center"/>
    </xf>
    <xf numFmtId="1" fontId="22" fillId="0" borderId="2" xfId="31" applyNumberFormat="1" applyFont="1" applyBorder="1" applyAlignment="1">
      <alignment horizontal="center" vertical="center"/>
    </xf>
    <xf numFmtId="9" fontId="22" fillId="0" borderId="2" xfId="1" applyFont="1" applyFill="1" applyBorder="1" applyAlignment="1" applyProtection="1">
      <alignment horizontal="center" vertical="center"/>
    </xf>
    <xf numFmtId="166" fontId="22" fillId="0" borderId="2" xfId="20" applyNumberFormat="1" applyBorder="1" applyAlignment="1">
      <alignment horizontal="center" vertical="center"/>
    </xf>
    <xf numFmtId="0" fontId="22" fillId="0" borderId="14" xfId="20" applyBorder="1" applyAlignment="1">
      <alignment horizontal="center" vertical="center"/>
    </xf>
    <xf numFmtId="9" fontId="22" fillId="0" borderId="14" xfId="1" applyFont="1" applyFill="1" applyBorder="1" applyAlignment="1" applyProtection="1">
      <alignment horizontal="center" vertical="center"/>
    </xf>
    <xf numFmtId="0" fontId="22" fillId="0" borderId="7" xfId="0" applyFont="1" applyBorder="1" applyAlignment="1" applyProtection="1">
      <alignment horizontal="center"/>
      <protection locked="0"/>
    </xf>
    <xf numFmtId="164" fontId="30" fillId="0" borderId="0" xfId="20" applyNumberFormat="1" applyFont="1" applyAlignment="1">
      <alignment horizontal="center"/>
    </xf>
    <xf numFmtId="0" fontId="22" fillId="0" borderId="6" xfId="0" applyFont="1" applyBorder="1" applyAlignment="1">
      <alignment horizontal="center"/>
    </xf>
    <xf numFmtId="0" fontId="48" fillId="0" borderId="0" xfId="20" applyFont="1" applyAlignment="1">
      <alignment horizontal="center"/>
    </xf>
    <xf numFmtId="0" fontId="22" fillId="2" borderId="0" xfId="20" applyFill="1" applyAlignment="1">
      <alignment vertical="center" textRotation="90"/>
    </xf>
    <xf numFmtId="170" fontId="22" fillId="0" borderId="2" xfId="0" applyNumberFormat="1" applyFont="1" applyBorder="1" applyAlignment="1">
      <alignment horizontal="center"/>
    </xf>
    <xf numFmtId="170" fontId="26" fillId="0" borderId="2" xfId="0" applyNumberFormat="1" applyFont="1" applyBorder="1" applyAlignment="1">
      <alignment horizontal="center"/>
    </xf>
    <xf numFmtId="170" fontId="22" fillId="0" borderId="4" xfId="0" applyNumberFormat="1" applyFont="1" applyBorder="1" applyAlignment="1">
      <alignment horizontal="center"/>
    </xf>
    <xf numFmtId="166" fontId="22" fillId="0" borderId="14" xfId="0" applyNumberFormat="1" applyFont="1" applyBorder="1" applyAlignment="1">
      <alignment horizontal="center"/>
    </xf>
    <xf numFmtId="166" fontId="22" fillId="0" borderId="7" xfId="0" applyNumberFormat="1" applyFont="1" applyBorder="1" applyAlignment="1">
      <alignment horizontal="center"/>
    </xf>
    <xf numFmtId="9" fontId="22" fillId="0" borderId="0" xfId="1" applyFont="1" applyFill="1" applyBorder="1" applyAlignment="1" applyProtection="1">
      <alignment horizontal="center"/>
    </xf>
    <xf numFmtId="0" fontId="32" fillId="0" borderId="13" xfId="0" applyFont="1" applyBorder="1" applyProtection="1">
      <protection locked="0"/>
    </xf>
    <xf numFmtId="0" fontId="32" fillId="0" borderId="0" xfId="0" applyFont="1" applyProtection="1">
      <protection locked="0"/>
    </xf>
    <xf numFmtId="0" fontId="32" fillId="0" borderId="14" xfId="11" applyFont="1" applyBorder="1"/>
    <xf numFmtId="0" fontId="22" fillId="0" borderId="0" xfId="20" applyAlignment="1" applyProtection="1">
      <alignment horizontal="center"/>
      <protection locked="0"/>
    </xf>
    <xf numFmtId="169" fontId="22" fillId="0" borderId="0" xfId="20" applyNumberFormat="1" applyAlignment="1" applyProtection="1">
      <alignment horizontal="center"/>
      <protection locked="0"/>
    </xf>
    <xf numFmtId="0" fontId="15" fillId="3" borderId="17" xfId="20" applyFont="1" applyFill="1" applyBorder="1" applyAlignment="1">
      <alignment vertical="center"/>
    </xf>
    <xf numFmtId="0" fontId="15" fillId="3" borderId="19" xfId="20" applyFont="1" applyFill="1" applyBorder="1" applyAlignment="1">
      <alignment vertical="center"/>
    </xf>
    <xf numFmtId="0" fontId="15" fillId="3" borderId="18" xfId="20" applyFont="1" applyFill="1" applyBorder="1" applyAlignment="1">
      <alignment vertical="center"/>
    </xf>
    <xf numFmtId="0" fontId="15" fillId="0" borderId="17" xfId="20" applyFont="1" applyBorder="1" applyAlignment="1">
      <alignment vertical="center"/>
    </xf>
    <xf numFmtId="0" fontId="15" fillId="0" borderId="19" xfId="20" applyFont="1" applyBorder="1" applyAlignment="1">
      <alignment vertical="center"/>
    </xf>
    <xf numFmtId="0" fontId="15" fillId="0" borderId="18" xfId="20" applyFont="1" applyBorder="1" applyAlignment="1">
      <alignment vertical="center"/>
    </xf>
    <xf numFmtId="0" fontId="0" fillId="0" borderId="13" xfId="0" quotePrefix="1" applyBorder="1" applyAlignment="1">
      <alignment horizontal="left" vertical="top"/>
    </xf>
    <xf numFmtId="0" fontId="0" fillId="0" borderId="0" xfId="0" quotePrefix="1" applyAlignment="1">
      <alignment horizontal="left" vertical="top"/>
    </xf>
    <xf numFmtId="0" fontId="22" fillId="3" borderId="17" xfId="0" applyFont="1" applyFill="1" applyBorder="1" applyAlignment="1" applyProtection="1">
      <alignment horizontal="left"/>
      <protection locked="0"/>
    </xf>
    <xf numFmtId="0" fontId="22" fillId="3" borderId="19" xfId="0" applyFont="1" applyFill="1" applyBorder="1" applyAlignment="1" applyProtection="1">
      <alignment horizontal="left"/>
      <protection locked="0"/>
    </xf>
    <xf numFmtId="0" fontId="22" fillId="3" borderId="18" xfId="0" applyFont="1" applyFill="1" applyBorder="1" applyAlignment="1" applyProtection="1">
      <alignment horizontal="left"/>
      <protection locked="0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44" fillId="0" borderId="0" xfId="0" applyFont="1" applyAlignment="1">
      <alignment horizontal="left"/>
    </xf>
    <xf numFmtId="169" fontId="17" fillId="0" borderId="17" xfId="11" applyNumberFormat="1" applyBorder="1" applyAlignment="1">
      <alignment horizontal="center"/>
    </xf>
    <xf numFmtId="169" fontId="17" fillId="0" borderId="19" xfId="11" applyNumberFormat="1" applyBorder="1" applyAlignment="1">
      <alignment horizontal="center"/>
    </xf>
    <xf numFmtId="169" fontId="17" fillId="0" borderId="18" xfId="11" applyNumberFormat="1" applyBorder="1" applyAlignment="1">
      <alignment horizontal="center"/>
    </xf>
    <xf numFmtId="0" fontId="15" fillId="0" borderId="17" xfId="11" applyFont="1" applyBorder="1" applyAlignment="1">
      <alignment horizontal="center"/>
    </xf>
    <xf numFmtId="0" fontId="17" fillId="0" borderId="19" xfId="11" applyBorder="1" applyAlignment="1">
      <alignment horizontal="center"/>
    </xf>
    <xf numFmtId="0" fontId="17" fillId="0" borderId="18" xfId="11" applyBorder="1" applyAlignment="1">
      <alignment horizontal="center"/>
    </xf>
    <xf numFmtId="0" fontId="16" fillId="0" borderId="6" xfId="11" applyFont="1" applyBorder="1" applyAlignment="1">
      <alignment horizontal="center"/>
    </xf>
    <xf numFmtId="0" fontId="17" fillId="0" borderId="2" xfId="11" applyBorder="1" applyAlignment="1">
      <alignment horizontal="center"/>
    </xf>
    <xf numFmtId="0" fontId="17" fillId="0" borderId="7" xfId="11" applyBorder="1" applyAlignment="1">
      <alignment horizontal="center"/>
    </xf>
    <xf numFmtId="0" fontId="16" fillId="0" borderId="3" xfId="11" applyFont="1" applyBorder="1" applyAlignment="1">
      <alignment horizontal="center"/>
    </xf>
    <xf numFmtId="0" fontId="17" fillId="0" borderId="4" xfId="11" applyBorder="1" applyAlignment="1">
      <alignment horizontal="center"/>
    </xf>
    <xf numFmtId="0" fontId="17" fillId="0" borderId="5" xfId="11" applyBorder="1" applyAlignment="1">
      <alignment horizontal="center"/>
    </xf>
    <xf numFmtId="169" fontId="15" fillId="0" borderId="17" xfId="11" applyNumberFormat="1" applyFont="1" applyBorder="1" applyAlignment="1">
      <alignment horizontal="center"/>
    </xf>
    <xf numFmtId="169" fontId="15" fillId="0" borderId="19" xfId="11" applyNumberFormat="1" applyFont="1" applyBorder="1" applyAlignment="1">
      <alignment horizontal="center"/>
    </xf>
    <xf numFmtId="169" fontId="15" fillId="0" borderId="18" xfId="11" applyNumberFormat="1" applyFont="1" applyBorder="1" applyAlignment="1">
      <alignment horizontal="center"/>
    </xf>
    <xf numFmtId="0" fontId="15" fillId="0" borderId="20" xfId="20" applyFont="1" applyBorder="1" applyAlignment="1">
      <alignment horizontal="center" vertical="center"/>
    </xf>
    <xf numFmtId="0" fontId="15" fillId="0" borderId="20" xfId="20" applyFont="1" applyBorder="1" applyAlignment="1">
      <alignment horizontal="center"/>
    </xf>
    <xf numFmtId="0" fontId="15" fillId="0" borderId="17" xfId="20" applyFont="1" applyBorder="1" applyAlignment="1">
      <alignment horizontal="center"/>
    </xf>
    <xf numFmtId="0" fontId="15" fillId="0" borderId="19" xfId="20" applyFont="1" applyBorder="1" applyAlignment="1">
      <alignment horizontal="center"/>
    </xf>
    <xf numFmtId="0" fontId="15" fillId="0" borderId="18" xfId="20" applyFont="1" applyBorder="1" applyAlignment="1">
      <alignment horizontal="center"/>
    </xf>
    <xf numFmtId="0" fontId="40" fillId="0" borderId="4" xfId="20" applyFont="1" applyBorder="1" applyAlignment="1">
      <alignment horizontal="left"/>
    </xf>
    <xf numFmtId="0" fontId="40" fillId="0" borderId="1" xfId="20" applyFont="1" applyBorder="1" applyAlignment="1">
      <alignment horizontal="left"/>
    </xf>
    <xf numFmtId="0" fontId="22" fillId="2" borderId="23" xfId="20" applyFill="1" applyBorder="1" applyAlignment="1">
      <alignment horizontal="center" vertical="center" textRotation="90"/>
    </xf>
    <xf numFmtId="0" fontId="22" fillId="2" borderId="22" xfId="20" applyFill="1" applyBorder="1" applyAlignment="1">
      <alignment horizontal="center" vertical="center" textRotation="90"/>
    </xf>
    <xf numFmtId="0" fontId="22" fillId="2" borderId="21" xfId="20" applyFill="1" applyBorder="1" applyAlignment="1">
      <alignment horizontal="center" vertical="center" textRotation="90"/>
    </xf>
    <xf numFmtId="0" fontId="26" fillId="3" borderId="2" xfId="20" applyFont="1" applyFill="1" applyBorder="1" applyAlignment="1">
      <alignment horizontal="center"/>
    </xf>
    <xf numFmtId="0" fontId="22" fillId="3" borderId="17" xfId="20" applyFill="1" applyBorder="1" applyAlignment="1">
      <alignment horizontal="center" vertical="center"/>
    </xf>
    <xf numFmtId="0" fontId="22" fillId="3" borderId="18" xfId="20" applyFill="1" applyBorder="1" applyAlignment="1">
      <alignment horizontal="center" vertical="center"/>
    </xf>
    <xf numFmtId="0" fontId="22" fillId="0" borderId="0" xfId="20" applyAlignment="1" applyProtection="1">
      <alignment horizontal="center" vertical="center"/>
      <protection locked="0"/>
    </xf>
    <xf numFmtId="0" fontId="44" fillId="0" borderId="0" xfId="0" applyFont="1" applyAlignment="1">
      <alignment horizontal="center"/>
    </xf>
    <xf numFmtId="172" fontId="22" fillId="0" borderId="0" xfId="20" applyNumberFormat="1" applyAlignment="1">
      <alignment horizontal="center"/>
    </xf>
    <xf numFmtId="0" fontId="26" fillId="0" borderId="2" xfId="20" applyFont="1" applyBorder="1" applyAlignment="1">
      <alignment horizontal="center"/>
    </xf>
    <xf numFmtId="0" fontId="22" fillId="0" borderId="2" xfId="20" applyBorder="1" applyAlignment="1">
      <alignment horizontal="center"/>
    </xf>
    <xf numFmtId="0" fontId="22" fillId="0" borderId="0" xfId="20" quotePrefix="1" applyAlignment="1">
      <alignment horizontal="center"/>
    </xf>
    <xf numFmtId="0" fontId="22" fillId="0" borderId="0" xfId="20" applyAlignment="1">
      <alignment horizontal="center"/>
    </xf>
    <xf numFmtId="166" fontId="22" fillId="0" borderId="0" xfId="20" applyNumberFormat="1" applyAlignment="1">
      <alignment horizontal="center"/>
    </xf>
    <xf numFmtId="170" fontId="22" fillId="0" borderId="0" xfId="1" applyNumberFormat="1" applyFont="1" applyFill="1" applyBorder="1" applyAlignment="1" applyProtection="1">
      <alignment horizontal="center"/>
    </xf>
    <xf numFmtId="172" fontId="22" fillId="0" borderId="2" xfId="20" applyNumberFormat="1" applyBorder="1" applyAlignment="1">
      <alignment horizontal="center"/>
    </xf>
    <xf numFmtId="0" fontId="22" fillId="2" borderId="20" xfId="20" applyFill="1" applyBorder="1" applyAlignment="1">
      <alignment horizontal="center" vertical="center" textRotation="90"/>
    </xf>
    <xf numFmtId="166" fontId="52" fillId="2" borderId="0" xfId="20" applyNumberFormat="1" applyFont="1" applyFill="1" applyAlignment="1">
      <alignment horizontal="left"/>
    </xf>
  </cellXfs>
  <cellStyles count="46">
    <cellStyle name="Comma 2" xfId="37" xr:uid="{00000000-0005-0000-0000-000000000000}"/>
    <cellStyle name="Normal" xfId="0" builtinId="0"/>
    <cellStyle name="Normal 10" xfId="16" xr:uid="{00000000-0005-0000-0000-000002000000}"/>
    <cellStyle name="Normal 10 2" xfId="36" xr:uid="{00000000-0005-0000-0000-000003000000}"/>
    <cellStyle name="Normal 11" xfId="3" xr:uid="{00000000-0005-0000-0000-000004000000}"/>
    <cellStyle name="Normal 11 2" xfId="23" xr:uid="{00000000-0005-0000-0000-000005000000}"/>
    <cellStyle name="Normal 12" xfId="4" xr:uid="{00000000-0005-0000-0000-000006000000}"/>
    <cellStyle name="Normal 12 2" xfId="24" xr:uid="{00000000-0005-0000-0000-000007000000}"/>
    <cellStyle name="Normal 13" xfId="5" xr:uid="{00000000-0005-0000-0000-000008000000}"/>
    <cellStyle name="Normal 13 2" xfId="25" xr:uid="{00000000-0005-0000-0000-000009000000}"/>
    <cellStyle name="Normal 14" xfId="6" xr:uid="{00000000-0005-0000-0000-00000A000000}"/>
    <cellStyle name="Normal 14 2" xfId="26" xr:uid="{00000000-0005-0000-0000-00000B000000}"/>
    <cellStyle name="Normal 15" xfId="7" xr:uid="{00000000-0005-0000-0000-00000C000000}"/>
    <cellStyle name="Normal 15 2" xfId="27" xr:uid="{00000000-0005-0000-0000-00000D000000}"/>
    <cellStyle name="Normal 16" xfId="8" xr:uid="{00000000-0005-0000-0000-00000E000000}"/>
    <cellStyle name="Normal 16 2" xfId="28" xr:uid="{00000000-0005-0000-0000-00000F000000}"/>
    <cellStyle name="Normal 17" xfId="17" xr:uid="{00000000-0005-0000-0000-000010000000}"/>
    <cellStyle name="Normal 17 2" xfId="38" xr:uid="{00000000-0005-0000-0000-000011000000}"/>
    <cellStyle name="Normal 18" xfId="18" xr:uid="{00000000-0005-0000-0000-000012000000}"/>
    <cellStyle name="Normal 18 2" xfId="39" xr:uid="{00000000-0005-0000-0000-000013000000}"/>
    <cellStyle name="Normal 19" xfId="19" xr:uid="{00000000-0005-0000-0000-000014000000}"/>
    <cellStyle name="Normal 2" xfId="9" xr:uid="{00000000-0005-0000-0000-000015000000}"/>
    <cellStyle name="Normal 2 2" xfId="29" xr:uid="{00000000-0005-0000-0000-000016000000}"/>
    <cellStyle name="Normal 20" xfId="20" xr:uid="{00000000-0005-0000-0000-000017000000}"/>
    <cellStyle name="Normal 21" xfId="40" xr:uid="{00000000-0005-0000-0000-000018000000}"/>
    <cellStyle name="Normal 22" xfId="41" xr:uid="{00000000-0005-0000-0000-000019000000}"/>
    <cellStyle name="Normal 23" xfId="42" xr:uid="{00000000-0005-0000-0000-00001A000000}"/>
    <cellStyle name="Normal 24" xfId="43" xr:uid="{00000000-0005-0000-0000-00001B000000}"/>
    <cellStyle name="Normal 25" xfId="44" xr:uid="{00000000-0005-0000-0000-00001C000000}"/>
    <cellStyle name="Normal 26" xfId="45" xr:uid="{00000000-0005-0000-0000-00001D000000}"/>
    <cellStyle name="Normal 3" xfId="2" xr:uid="{00000000-0005-0000-0000-00001E000000}"/>
    <cellStyle name="Normal 3 2" xfId="22" xr:uid="{00000000-0005-0000-0000-00001F000000}"/>
    <cellStyle name="Normal 4" xfId="10" xr:uid="{00000000-0005-0000-0000-000020000000}"/>
    <cellStyle name="Normal 4 2" xfId="30" xr:uid="{00000000-0005-0000-0000-000021000000}"/>
    <cellStyle name="Normal 5" xfId="11" xr:uid="{00000000-0005-0000-0000-000022000000}"/>
    <cellStyle name="Normal 5 2" xfId="31" xr:uid="{00000000-0005-0000-0000-000023000000}"/>
    <cellStyle name="Normal 6" xfId="12" xr:uid="{00000000-0005-0000-0000-000024000000}"/>
    <cellStyle name="Normal 6 2" xfId="32" xr:uid="{00000000-0005-0000-0000-000025000000}"/>
    <cellStyle name="Normal 7" xfId="13" xr:uid="{00000000-0005-0000-0000-000026000000}"/>
    <cellStyle name="Normal 7 2" xfId="33" xr:uid="{00000000-0005-0000-0000-000027000000}"/>
    <cellStyle name="Normal 8" xfId="14" xr:uid="{00000000-0005-0000-0000-000028000000}"/>
    <cellStyle name="Normal 8 2" xfId="34" xr:uid="{00000000-0005-0000-0000-000029000000}"/>
    <cellStyle name="Normal 9" xfId="15" xr:uid="{00000000-0005-0000-0000-00002A000000}"/>
    <cellStyle name="Normal 9 2" xfId="35" xr:uid="{00000000-0005-0000-0000-00002B000000}"/>
    <cellStyle name="Percent" xfId="1" builtinId="5"/>
    <cellStyle name="Percent 2" xfId="21" xr:uid="{00000000-0005-0000-0000-00002D000000}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 patternType="solid"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DESIGN RESPONSE SPECTRUM</a:t>
            </a:r>
          </a:p>
        </c:rich>
      </c:tx>
      <c:layout>
        <c:manualLayout>
          <c:xMode val="edge"/>
          <c:yMode val="edge"/>
          <c:x val="0.38216590223637681"/>
          <c:y val="1.79856115107913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9719772621189"/>
          <c:y val="0.1121680793637178"/>
          <c:w val="0.80677879682220299"/>
          <c:h val="0.71157281158298535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'Site Ground Motions'!$L$21:$L$69</c:f>
              <c:numCache>
                <c:formatCode>0.000\ "s"</c:formatCode>
                <c:ptCount val="49"/>
                <c:pt idx="0">
                  <c:v>0</c:v>
                </c:pt>
                <c:pt idx="1">
                  <c:v>0.15257054492630584</c:v>
                </c:pt>
                <c:pt idx="2">
                  <c:v>0.76285272463152909</c:v>
                </c:pt>
                <c:pt idx="3">
                  <c:v>0.79999999999999993</c:v>
                </c:pt>
                <c:pt idx="4">
                  <c:v>0.89999999999999991</c:v>
                </c:pt>
                <c:pt idx="5">
                  <c:v>0.99999999999999989</c:v>
                </c:pt>
                <c:pt idx="6">
                  <c:v>1.0999999999999999</c:v>
                </c:pt>
                <c:pt idx="7">
                  <c:v>1.2</c:v>
                </c:pt>
                <c:pt idx="8">
                  <c:v>1.3</c:v>
                </c:pt>
                <c:pt idx="9">
                  <c:v>1.4000000000000001</c:v>
                </c:pt>
                <c:pt idx="10">
                  <c:v>1.5000000000000002</c:v>
                </c:pt>
                <c:pt idx="11">
                  <c:v>1.6000000000000003</c:v>
                </c:pt>
                <c:pt idx="12">
                  <c:v>1.7000000000000004</c:v>
                </c:pt>
                <c:pt idx="13">
                  <c:v>1.8000000000000005</c:v>
                </c:pt>
                <c:pt idx="14">
                  <c:v>1.9000000000000006</c:v>
                </c:pt>
                <c:pt idx="15">
                  <c:v>2.0000000000000004</c:v>
                </c:pt>
                <c:pt idx="16">
                  <c:v>2.1000000000000005</c:v>
                </c:pt>
                <c:pt idx="17">
                  <c:v>2.2000000000000006</c:v>
                </c:pt>
                <c:pt idx="18">
                  <c:v>2.3000000000000007</c:v>
                </c:pt>
                <c:pt idx="19">
                  <c:v>2.5000000000000009</c:v>
                </c:pt>
                <c:pt idx="20">
                  <c:v>2.7000000000000011</c:v>
                </c:pt>
                <c:pt idx="21">
                  <c:v>2.9000000000000012</c:v>
                </c:pt>
                <c:pt idx="22">
                  <c:v>3.1000000000000014</c:v>
                </c:pt>
                <c:pt idx="23">
                  <c:v>3.3000000000000016</c:v>
                </c:pt>
                <c:pt idx="24">
                  <c:v>3.5000000000000018</c:v>
                </c:pt>
                <c:pt idx="25">
                  <c:v>3.700000000000002</c:v>
                </c:pt>
                <c:pt idx="26">
                  <c:v>3.9000000000000021</c:v>
                </c:pt>
                <c:pt idx="27">
                  <c:v>4.1000000000000023</c:v>
                </c:pt>
                <c:pt idx="28">
                  <c:v>4.3000000000000025</c:v>
                </c:pt>
                <c:pt idx="29">
                  <c:v>4.5000000000000027</c:v>
                </c:pt>
                <c:pt idx="30">
                  <c:v>4.7000000000000028</c:v>
                </c:pt>
                <c:pt idx="31">
                  <c:v>4.900000000000003</c:v>
                </c:pt>
                <c:pt idx="32">
                  <c:v>5.1000000000000032</c:v>
                </c:pt>
                <c:pt idx="33">
                  <c:v>5.3000000000000034</c:v>
                </c:pt>
                <c:pt idx="34">
                  <c:v>5.5000000000000036</c:v>
                </c:pt>
                <c:pt idx="35">
                  <c:v>5.7000000000000037</c:v>
                </c:pt>
                <c:pt idx="36">
                  <c:v>5.9000000000000039</c:v>
                </c:pt>
                <c:pt idx="37">
                  <c:v>6.1000000000000041</c:v>
                </c:pt>
                <c:pt idx="38">
                  <c:v>6.3000000000000043</c:v>
                </c:pt>
                <c:pt idx="39">
                  <c:v>6.5000000000000044</c:v>
                </c:pt>
                <c:pt idx="40">
                  <c:v>6.7000000000000046</c:v>
                </c:pt>
                <c:pt idx="41">
                  <c:v>6.9000000000000048</c:v>
                </c:pt>
                <c:pt idx="42">
                  <c:v>7.100000000000005</c:v>
                </c:pt>
                <c:pt idx="43">
                  <c:v>7.3000000000000052</c:v>
                </c:pt>
                <c:pt idx="44">
                  <c:v>7.5000000000000053</c:v>
                </c:pt>
                <c:pt idx="45">
                  <c:v>7.7000000000000055</c:v>
                </c:pt>
                <c:pt idx="46">
                  <c:v>7.9000000000000057</c:v>
                </c:pt>
                <c:pt idx="47">
                  <c:v>8.100000000000005</c:v>
                </c:pt>
                <c:pt idx="48">
                  <c:v>8.3000000000000043</c:v>
                </c:pt>
              </c:numCache>
            </c:numRef>
          </c:xVal>
          <c:yVal>
            <c:numRef>
              <c:f>'Site Ground Motions'!$M$21:$M$69</c:f>
              <c:numCache>
                <c:formatCode>0.000\ "g"</c:formatCode>
                <c:ptCount val="49"/>
                <c:pt idx="0">
                  <c:v>0.27087797333333336</c:v>
                </c:pt>
                <c:pt idx="1">
                  <c:v>0.67719493333333336</c:v>
                </c:pt>
                <c:pt idx="2">
                  <c:v>0.67719493333333336</c:v>
                </c:pt>
                <c:pt idx="3">
                  <c:v>0.64575000000000016</c:v>
                </c:pt>
                <c:pt idx="4">
                  <c:v>0.57400000000000018</c:v>
                </c:pt>
                <c:pt idx="5">
                  <c:v>0.51660000000000017</c:v>
                </c:pt>
                <c:pt idx="6">
                  <c:v>0.46963636363636374</c:v>
                </c:pt>
                <c:pt idx="7">
                  <c:v>0.43050000000000005</c:v>
                </c:pt>
                <c:pt idx="8">
                  <c:v>0.39738461538461539</c:v>
                </c:pt>
                <c:pt idx="9">
                  <c:v>0.36899999999999999</c:v>
                </c:pt>
                <c:pt idx="10">
                  <c:v>0.34439999999999998</c:v>
                </c:pt>
                <c:pt idx="11">
                  <c:v>0.32287499999999997</c:v>
                </c:pt>
                <c:pt idx="12">
                  <c:v>0.30388235294117644</c:v>
                </c:pt>
                <c:pt idx="13">
                  <c:v>0.28699999999999998</c:v>
                </c:pt>
                <c:pt idx="14">
                  <c:v>0.27189473684210519</c:v>
                </c:pt>
                <c:pt idx="15">
                  <c:v>0.25829999999999997</c:v>
                </c:pt>
                <c:pt idx="16">
                  <c:v>0.24599999999999997</c:v>
                </c:pt>
                <c:pt idx="17">
                  <c:v>0.23481818181818179</c:v>
                </c:pt>
                <c:pt idx="18">
                  <c:v>0.22460869565217387</c:v>
                </c:pt>
                <c:pt idx="19">
                  <c:v>0.20663999999999996</c:v>
                </c:pt>
                <c:pt idx="20">
                  <c:v>0.19133333333333327</c:v>
                </c:pt>
                <c:pt idx="21">
                  <c:v>0.17813793103448269</c:v>
                </c:pt>
                <c:pt idx="22">
                  <c:v>0.16664516129032253</c:v>
                </c:pt>
                <c:pt idx="23">
                  <c:v>0.15654545454545449</c:v>
                </c:pt>
                <c:pt idx="24">
                  <c:v>0.14759999999999995</c:v>
                </c:pt>
                <c:pt idx="25">
                  <c:v>0.13962162162162156</c:v>
                </c:pt>
                <c:pt idx="26">
                  <c:v>0.13246153846153841</c:v>
                </c:pt>
                <c:pt idx="27">
                  <c:v>0.12599999999999995</c:v>
                </c:pt>
                <c:pt idx="28">
                  <c:v>0.12013953488372088</c:v>
                </c:pt>
                <c:pt idx="29">
                  <c:v>0.11479999999999994</c:v>
                </c:pt>
                <c:pt idx="30">
                  <c:v>0.10991489361702123</c:v>
                </c:pt>
                <c:pt idx="31">
                  <c:v>0.10542857142857137</c:v>
                </c:pt>
                <c:pt idx="32">
                  <c:v>0.10129411764705877</c:v>
                </c:pt>
                <c:pt idx="33">
                  <c:v>9.7471698113207494E-2</c:v>
                </c:pt>
                <c:pt idx="34">
                  <c:v>9.3927272727272679E-2</c:v>
                </c:pt>
                <c:pt idx="35">
                  <c:v>9.0631578947368369E-2</c:v>
                </c:pt>
                <c:pt idx="36">
                  <c:v>8.7559322033898254E-2</c:v>
                </c:pt>
                <c:pt idx="37">
                  <c:v>8.4688524590163891E-2</c:v>
                </c:pt>
                <c:pt idx="38">
                  <c:v>8.1999999999999948E-2</c:v>
                </c:pt>
                <c:pt idx="39">
                  <c:v>7.9476923076923028E-2</c:v>
                </c:pt>
                <c:pt idx="40">
                  <c:v>7.7104477611940253E-2</c:v>
                </c:pt>
                <c:pt idx="41">
                  <c:v>7.4869565217391257E-2</c:v>
                </c:pt>
                <c:pt idx="42">
                  <c:v>7.2760563380281654E-2</c:v>
                </c:pt>
                <c:pt idx="43">
                  <c:v>7.0767123287671194E-2</c:v>
                </c:pt>
                <c:pt idx="44">
                  <c:v>6.8879999999999955E-2</c:v>
                </c:pt>
                <c:pt idx="45">
                  <c:v>6.7090909090909048E-2</c:v>
                </c:pt>
                <c:pt idx="46">
                  <c:v>6.5392405063291095E-2</c:v>
                </c:pt>
                <c:pt idx="47">
                  <c:v>6.3777777777777753E-2</c:v>
                </c:pt>
                <c:pt idx="48">
                  <c:v>6.224096385542166E-2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2-4E78-936C-7E31B78AB5EF}"/>
            </c:ext>
          </c:extLst>
        </c:ser>
        <c:ser>
          <c:idx val="1"/>
          <c:order val="1"/>
          <c:tx>
            <c:v>Period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'Site Ground Motions'!$Q$21:$Q$23</c:f>
              <c:numCache>
                <c:formatCode>0.000\ "s"</c:formatCode>
                <c:ptCount val="3"/>
                <c:pt idx="0" formatCode="0.000\ &quot;g&quot;">
                  <c:v>0</c:v>
                </c:pt>
                <c:pt idx="1">
                  <c:v>1.1499999999999999</c:v>
                </c:pt>
                <c:pt idx="2">
                  <c:v>1.1499999999999999</c:v>
                </c:pt>
              </c:numCache>
            </c:numRef>
          </c:xVal>
          <c:yVal>
            <c:numRef>
              <c:f>'Site Ground Motions'!$R$21:$R$23</c:f>
              <c:numCache>
                <c:formatCode>0.000\ "g"</c:formatCode>
                <c:ptCount val="3"/>
                <c:pt idx="0">
                  <c:v>0.4492173913043479</c:v>
                </c:pt>
                <c:pt idx="1">
                  <c:v>0.4492173913043479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52-4E78-936C-7E31B78AB5EF}"/>
            </c:ext>
          </c:extLst>
        </c:ser>
        <c:ser>
          <c:idx val="2"/>
          <c:order val="2"/>
          <c:tx>
            <c:v>Site Class D Exception</c:v>
          </c:tx>
          <c:marker>
            <c:symbol val="none"/>
          </c:marker>
          <c:xVal>
            <c:numRef>
              <c:f>'Site Ground Motions'!$N$21:$N$69</c:f>
              <c:numCache>
                <c:formatCode>0.000\ "s"</c:formatCode>
                <c:ptCount val="49"/>
                <c:pt idx="0">
                  <c:v>0</c:v>
                </c:pt>
                <c:pt idx="1">
                  <c:v>0.15257054492630584</c:v>
                </c:pt>
                <c:pt idx="2">
                  <c:v>1.1442790869472936</c:v>
                </c:pt>
                <c:pt idx="3">
                  <c:v>1.2000000000000002</c:v>
                </c:pt>
                <c:pt idx="4">
                  <c:v>1.3000000000000003</c:v>
                </c:pt>
                <c:pt idx="5">
                  <c:v>1.4000000000000004</c:v>
                </c:pt>
                <c:pt idx="6">
                  <c:v>1.5000000000000004</c:v>
                </c:pt>
                <c:pt idx="7">
                  <c:v>1.6000000000000005</c:v>
                </c:pt>
                <c:pt idx="8">
                  <c:v>1.7000000000000006</c:v>
                </c:pt>
                <c:pt idx="9">
                  <c:v>1.8000000000000007</c:v>
                </c:pt>
                <c:pt idx="10">
                  <c:v>1.9000000000000008</c:v>
                </c:pt>
                <c:pt idx="11">
                  <c:v>2.0000000000000009</c:v>
                </c:pt>
                <c:pt idx="12">
                  <c:v>2.100000000000001</c:v>
                </c:pt>
                <c:pt idx="13">
                  <c:v>2.2000000000000011</c:v>
                </c:pt>
                <c:pt idx="14">
                  <c:v>2.3000000000000012</c:v>
                </c:pt>
                <c:pt idx="15">
                  <c:v>2.4000000000000012</c:v>
                </c:pt>
                <c:pt idx="16">
                  <c:v>2.5000000000000013</c:v>
                </c:pt>
                <c:pt idx="17">
                  <c:v>2.6000000000000014</c:v>
                </c:pt>
                <c:pt idx="18">
                  <c:v>2.7000000000000015</c:v>
                </c:pt>
                <c:pt idx="19">
                  <c:v>2.9000000000000017</c:v>
                </c:pt>
                <c:pt idx="20">
                  <c:v>3.1000000000000019</c:v>
                </c:pt>
                <c:pt idx="21">
                  <c:v>3.300000000000002</c:v>
                </c:pt>
                <c:pt idx="22">
                  <c:v>3.5000000000000022</c:v>
                </c:pt>
                <c:pt idx="23">
                  <c:v>3.7000000000000024</c:v>
                </c:pt>
                <c:pt idx="24">
                  <c:v>3.9000000000000026</c:v>
                </c:pt>
                <c:pt idx="25">
                  <c:v>4.1000000000000023</c:v>
                </c:pt>
                <c:pt idx="26">
                  <c:v>4.3000000000000025</c:v>
                </c:pt>
                <c:pt idx="27">
                  <c:v>4.5000000000000027</c:v>
                </c:pt>
                <c:pt idx="28">
                  <c:v>4.7000000000000028</c:v>
                </c:pt>
                <c:pt idx="29">
                  <c:v>4.900000000000003</c:v>
                </c:pt>
                <c:pt idx="30">
                  <c:v>5.1000000000000032</c:v>
                </c:pt>
                <c:pt idx="31">
                  <c:v>5.3000000000000034</c:v>
                </c:pt>
                <c:pt idx="32">
                  <c:v>5.5000000000000036</c:v>
                </c:pt>
                <c:pt idx="33">
                  <c:v>5.7000000000000037</c:v>
                </c:pt>
                <c:pt idx="34">
                  <c:v>5.9000000000000039</c:v>
                </c:pt>
                <c:pt idx="35">
                  <c:v>6.1000000000000041</c:v>
                </c:pt>
                <c:pt idx="36">
                  <c:v>6.3000000000000043</c:v>
                </c:pt>
                <c:pt idx="37">
                  <c:v>6.5000000000000044</c:v>
                </c:pt>
                <c:pt idx="38">
                  <c:v>6.7000000000000046</c:v>
                </c:pt>
                <c:pt idx="39">
                  <c:v>6.9000000000000048</c:v>
                </c:pt>
                <c:pt idx="40">
                  <c:v>7.100000000000005</c:v>
                </c:pt>
                <c:pt idx="41">
                  <c:v>7.3000000000000052</c:v>
                </c:pt>
                <c:pt idx="42">
                  <c:v>7.5000000000000053</c:v>
                </c:pt>
                <c:pt idx="43">
                  <c:v>7.7000000000000055</c:v>
                </c:pt>
                <c:pt idx="44">
                  <c:v>7.9000000000000057</c:v>
                </c:pt>
                <c:pt idx="45">
                  <c:v>8.100000000000005</c:v>
                </c:pt>
                <c:pt idx="46">
                  <c:v>8.3000000000000043</c:v>
                </c:pt>
                <c:pt idx="47">
                  <c:v>8.5000000000000036</c:v>
                </c:pt>
                <c:pt idx="48">
                  <c:v>8.7000000000000028</c:v>
                </c:pt>
              </c:numCache>
            </c:numRef>
          </c:xVal>
          <c:yVal>
            <c:numRef>
              <c:f>'Site Ground Motions'!$O$21:$O$69</c:f>
              <c:numCache>
                <c:formatCode>0.000\ "g"</c:formatCode>
                <c:ptCount val="49"/>
                <c:pt idx="0">
                  <c:v>0.27087797333333336</c:v>
                </c:pt>
                <c:pt idx="1">
                  <c:v>0.67719493333333336</c:v>
                </c:pt>
                <c:pt idx="2">
                  <c:v>0.67719493333333336</c:v>
                </c:pt>
                <c:pt idx="3">
                  <c:v>0.64575000000000005</c:v>
                </c:pt>
                <c:pt idx="4">
                  <c:v>0.59607692307692295</c:v>
                </c:pt>
                <c:pt idx="5">
                  <c:v>0.55349999999999988</c:v>
                </c:pt>
                <c:pt idx="6">
                  <c:v>0.51659999999999995</c:v>
                </c:pt>
                <c:pt idx="7">
                  <c:v>0.48431249999999987</c:v>
                </c:pt>
                <c:pt idx="8">
                  <c:v>0.45582352941176457</c:v>
                </c:pt>
                <c:pt idx="9">
                  <c:v>0.43049999999999988</c:v>
                </c:pt>
                <c:pt idx="10">
                  <c:v>0.40784210526315778</c:v>
                </c:pt>
                <c:pt idx="11">
                  <c:v>0.38744999999999985</c:v>
                </c:pt>
                <c:pt idx="12">
                  <c:v>0.36899999999999988</c:v>
                </c:pt>
                <c:pt idx="13">
                  <c:v>0.35222727272727261</c:v>
                </c:pt>
                <c:pt idx="14">
                  <c:v>0.33691304347826079</c:v>
                </c:pt>
                <c:pt idx="15">
                  <c:v>0.32287499999999986</c:v>
                </c:pt>
                <c:pt idx="16">
                  <c:v>0.30995999999999985</c:v>
                </c:pt>
                <c:pt idx="17">
                  <c:v>0.29803846153846142</c:v>
                </c:pt>
                <c:pt idx="18">
                  <c:v>0.28699999999999987</c:v>
                </c:pt>
                <c:pt idx="19">
                  <c:v>0.26720689655172403</c:v>
                </c:pt>
                <c:pt idx="20">
                  <c:v>0.24996774193548377</c:v>
                </c:pt>
                <c:pt idx="21">
                  <c:v>0.2348181818181817</c:v>
                </c:pt>
                <c:pt idx="22">
                  <c:v>0.22139999999999987</c:v>
                </c:pt>
                <c:pt idx="23">
                  <c:v>0.20943243243243231</c:v>
                </c:pt>
                <c:pt idx="24">
                  <c:v>0.19869230769230756</c:v>
                </c:pt>
                <c:pt idx="25">
                  <c:v>0.18899999999999992</c:v>
                </c:pt>
                <c:pt idx="26">
                  <c:v>0.18020930232558133</c:v>
                </c:pt>
                <c:pt idx="27">
                  <c:v>0.17219999999999991</c:v>
                </c:pt>
                <c:pt idx="28">
                  <c:v>0.16487234042553184</c:v>
                </c:pt>
                <c:pt idx="29">
                  <c:v>0.15814285714285706</c:v>
                </c:pt>
                <c:pt idx="30">
                  <c:v>0.15194117647058816</c:v>
                </c:pt>
                <c:pt idx="31">
                  <c:v>0.14620754716981124</c:v>
                </c:pt>
                <c:pt idx="32">
                  <c:v>0.14089090909090901</c:v>
                </c:pt>
                <c:pt idx="33">
                  <c:v>0.13594736842105254</c:v>
                </c:pt>
                <c:pt idx="34">
                  <c:v>0.13133898305084737</c:v>
                </c:pt>
                <c:pt idx="35">
                  <c:v>0.12703278688524583</c:v>
                </c:pt>
                <c:pt idx="36">
                  <c:v>0.12299999999999991</c:v>
                </c:pt>
                <c:pt idx="37">
                  <c:v>0.11921538461538454</c:v>
                </c:pt>
                <c:pt idx="38">
                  <c:v>0.11565671641791038</c:v>
                </c:pt>
                <c:pt idx="39">
                  <c:v>0.11230434782608689</c:v>
                </c:pt>
                <c:pt idx="40">
                  <c:v>0.10914084507042249</c:v>
                </c:pt>
                <c:pt idx="41">
                  <c:v>0.10615068493150678</c:v>
                </c:pt>
                <c:pt idx="42">
                  <c:v>0.10331999999999994</c:v>
                </c:pt>
                <c:pt idx="43">
                  <c:v>0.10063636363636358</c:v>
                </c:pt>
                <c:pt idx="44">
                  <c:v>9.808860759493665E-2</c:v>
                </c:pt>
                <c:pt idx="45">
                  <c:v>9.5666666666666622E-2</c:v>
                </c:pt>
                <c:pt idx="46">
                  <c:v>9.3361445783132491E-2</c:v>
                </c:pt>
                <c:pt idx="47">
                  <c:v>9.1164705882352925E-2</c:v>
                </c:pt>
                <c:pt idx="48">
                  <c:v>8.9068965517241361E-2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52-4E78-936C-7E31B78AB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423600"/>
        <c:axId val="928426400"/>
      </c:scatterChart>
      <c:valAx>
        <c:axId val="9284236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Period, T</a:t>
                </a:r>
              </a:p>
            </c:rich>
          </c:tx>
          <c:layout>
            <c:manualLayout>
              <c:xMode val="edge"/>
              <c:yMode val="edge"/>
              <c:x val="0.50000038875925212"/>
              <c:y val="0.90647482014389003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s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8426400"/>
        <c:crosses val="autoZero"/>
        <c:crossBetween val="midCat"/>
      </c:valAx>
      <c:valAx>
        <c:axId val="928426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Spectral Acceleration, Sa</a:t>
                </a:r>
              </a:p>
            </c:rich>
          </c:tx>
          <c:layout>
            <c:manualLayout>
              <c:xMode val="edge"/>
              <c:yMode val="edge"/>
              <c:x val="2.0718094979068732E-2"/>
              <c:y val="0.17772892574513202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g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842360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11" r="0.75000000000000411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SEISMIC BASE SHEAR (E.L.F.</a:t>
            </a:r>
            <a:r>
              <a:rPr lang="en-US" baseline="0"/>
              <a:t> PROCEDURE)</a:t>
            </a:r>
            <a:endParaRPr lang="en-US"/>
          </a:p>
        </c:rich>
      </c:tx>
      <c:layout>
        <c:manualLayout>
          <c:xMode val="edge"/>
          <c:yMode val="edge"/>
          <c:x val="0.30975877192982454"/>
          <c:y val="2.0499108734402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86842105263191"/>
          <c:y val="9.3582887700534759E-2"/>
          <c:w val="0.79395999519667881"/>
          <c:h val="0.76437674136886735"/>
        </c:manualLayout>
      </c:layout>
      <c:scatterChart>
        <c:scatterStyle val="lineMarker"/>
        <c:varyColors val="0"/>
        <c:ser>
          <c:idx val="0"/>
          <c:order val="0"/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'Equivalent Lateral Forces'!$O$23:$O$58</c:f>
              <c:numCache>
                <c:formatCode>0.000\ "s"</c:formatCode>
                <c:ptCount val="36"/>
                <c:pt idx="0">
                  <c:v>0</c:v>
                </c:pt>
                <c:pt idx="1">
                  <c:v>0.15257054492630584</c:v>
                </c:pt>
                <c:pt idx="2">
                  <c:v>1.1442790869472936</c:v>
                </c:pt>
                <c:pt idx="3">
                  <c:v>1.2000000000000002</c:v>
                </c:pt>
                <c:pt idx="4">
                  <c:v>1.3000000000000003</c:v>
                </c:pt>
                <c:pt idx="5">
                  <c:v>1.4000000000000004</c:v>
                </c:pt>
                <c:pt idx="6">
                  <c:v>1.5000000000000004</c:v>
                </c:pt>
                <c:pt idx="7">
                  <c:v>1.6000000000000005</c:v>
                </c:pt>
                <c:pt idx="8">
                  <c:v>1.7000000000000006</c:v>
                </c:pt>
                <c:pt idx="9">
                  <c:v>1.8000000000000007</c:v>
                </c:pt>
                <c:pt idx="10">
                  <c:v>1.9000000000000008</c:v>
                </c:pt>
                <c:pt idx="11">
                  <c:v>2.0000000000000009</c:v>
                </c:pt>
                <c:pt idx="12">
                  <c:v>2.100000000000001</c:v>
                </c:pt>
                <c:pt idx="13">
                  <c:v>2.2000000000000011</c:v>
                </c:pt>
                <c:pt idx="14">
                  <c:v>2.3000000000000012</c:v>
                </c:pt>
                <c:pt idx="15">
                  <c:v>2.4000000000000012</c:v>
                </c:pt>
                <c:pt idx="16">
                  <c:v>2.5000000000000013</c:v>
                </c:pt>
                <c:pt idx="17">
                  <c:v>2.6000000000000014</c:v>
                </c:pt>
                <c:pt idx="18">
                  <c:v>2.7000000000000015</c:v>
                </c:pt>
                <c:pt idx="19">
                  <c:v>2.8000000000000016</c:v>
                </c:pt>
                <c:pt idx="20">
                  <c:v>2.9000000000000017</c:v>
                </c:pt>
                <c:pt idx="21">
                  <c:v>3.0000000000000018</c:v>
                </c:pt>
                <c:pt idx="22">
                  <c:v>3.1000000000000019</c:v>
                </c:pt>
                <c:pt idx="23">
                  <c:v>3.200000000000002</c:v>
                </c:pt>
                <c:pt idx="24">
                  <c:v>3.300000000000002</c:v>
                </c:pt>
                <c:pt idx="25">
                  <c:v>3.4000000000000021</c:v>
                </c:pt>
                <c:pt idx="26">
                  <c:v>3.5000000000000022</c:v>
                </c:pt>
                <c:pt idx="27">
                  <c:v>3.6000000000000023</c:v>
                </c:pt>
                <c:pt idx="28">
                  <c:v>3.7000000000000024</c:v>
                </c:pt>
                <c:pt idx="29">
                  <c:v>3.8000000000000025</c:v>
                </c:pt>
                <c:pt idx="30">
                  <c:v>3.9000000000000026</c:v>
                </c:pt>
                <c:pt idx="31">
                  <c:v>4.0000000000000027</c:v>
                </c:pt>
                <c:pt idx="32">
                  <c:v>4.1000000000000023</c:v>
                </c:pt>
                <c:pt idx="33">
                  <c:v>4.200000000000002</c:v>
                </c:pt>
                <c:pt idx="34">
                  <c:v>4.3000000000000016</c:v>
                </c:pt>
                <c:pt idx="35">
                  <c:v>4.4000000000000012</c:v>
                </c:pt>
              </c:numCache>
            </c:numRef>
          </c:xVal>
          <c:yVal>
            <c:numRef>
              <c:f>'Equivalent Lateral Forces'!$Q$23:$Q$58</c:f>
              <c:numCache>
                <c:formatCode>0.000</c:formatCode>
                <c:ptCount val="36"/>
                <c:pt idx="0">
                  <c:v>0.10418383589743591</c:v>
                </c:pt>
                <c:pt idx="1">
                  <c:v>0.10418383589743591</c:v>
                </c:pt>
                <c:pt idx="2">
                  <c:v>0.10418383589743591</c:v>
                </c:pt>
                <c:pt idx="3">
                  <c:v>9.9346153846153848E-2</c:v>
                </c:pt>
                <c:pt idx="4">
                  <c:v>9.17041420118343E-2</c:v>
                </c:pt>
                <c:pt idx="5">
                  <c:v>8.5153846153846136E-2</c:v>
                </c:pt>
                <c:pt idx="6">
                  <c:v>7.947692307692307E-2</c:v>
                </c:pt>
                <c:pt idx="7">
                  <c:v>7.4509615384615369E-2</c:v>
                </c:pt>
                <c:pt idx="8">
                  <c:v>7.0126696832579161E-2</c:v>
                </c:pt>
                <c:pt idx="9">
                  <c:v>6.6230769230769218E-2</c:v>
                </c:pt>
                <c:pt idx="10">
                  <c:v>6.2744939271255046E-2</c:v>
                </c:pt>
                <c:pt idx="11">
                  <c:v>5.9607692307692285E-2</c:v>
                </c:pt>
                <c:pt idx="12">
                  <c:v>5.6769230769230752E-2</c:v>
                </c:pt>
                <c:pt idx="13">
                  <c:v>5.4188811188811171E-2</c:v>
                </c:pt>
                <c:pt idx="14">
                  <c:v>5.1832775919732427E-2</c:v>
                </c:pt>
                <c:pt idx="15">
                  <c:v>4.9673076923076903E-2</c:v>
                </c:pt>
                <c:pt idx="16">
                  <c:v>4.7686153846153823E-2</c:v>
                </c:pt>
                <c:pt idx="17">
                  <c:v>4.5852071005917143E-2</c:v>
                </c:pt>
                <c:pt idx="18">
                  <c:v>4.4153846153846134E-2</c:v>
                </c:pt>
                <c:pt idx="19">
                  <c:v>4.1108753315649851E-2</c:v>
                </c:pt>
                <c:pt idx="20">
                  <c:v>3.8456575682382116E-2</c:v>
                </c:pt>
                <c:pt idx="21">
                  <c:v>3.6125874125874105E-2</c:v>
                </c:pt>
                <c:pt idx="22">
                  <c:v>3.4061538461538442E-2</c:v>
                </c:pt>
                <c:pt idx="23">
                  <c:v>3.2220374220374201E-2</c:v>
                </c:pt>
                <c:pt idx="24">
                  <c:v>3.0568047337278085E-2</c:v>
                </c:pt>
                <c:pt idx="25">
                  <c:v>2.9076923076923063E-2</c:v>
                </c:pt>
                <c:pt idx="26">
                  <c:v>2.7724508050089434E-2</c:v>
                </c:pt>
                <c:pt idx="27">
                  <c:v>2.649230769230768E-2</c:v>
                </c:pt>
                <c:pt idx="28">
                  <c:v>2.536497545008182E-2</c:v>
                </c:pt>
                <c:pt idx="29">
                  <c:v>2.4329670329670317E-2</c:v>
                </c:pt>
                <c:pt idx="30">
                  <c:v>2.3375565610859718E-2</c:v>
                </c:pt>
                <c:pt idx="31">
                  <c:v>2.2493468795355576E-2</c:v>
                </c:pt>
                <c:pt idx="32">
                  <c:v>2.1675524475524462E-2</c:v>
                </c:pt>
                <c:pt idx="33">
                  <c:v>2.0914979757085006E-2</c:v>
                </c:pt>
                <c:pt idx="34">
                  <c:v>2.0205997392438058E-2</c:v>
                </c:pt>
                <c:pt idx="35">
                  <c:v>1.9543505674653204E-2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F6-4536-AD13-0E1E7CEF1308}"/>
            </c:ext>
          </c:extLst>
        </c:ser>
        <c:ser>
          <c:idx val="3"/>
          <c:order val="1"/>
          <c:tx>
            <c:v>Minimum</c:v>
          </c:tx>
          <c:spPr>
            <a:ln w="25400">
              <a:solidFill>
                <a:srgbClr val="FF0000"/>
              </a:solidFill>
              <a:prstDash val="dashDot"/>
            </a:ln>
          </c:spPr>
          <c:marker>
            <c:symbol val="none"/>
          </c:marker>
          <c:xVal>
            <c:numRef>
              <c:f>'Equivalent Lateral Forces'!$V$15:$V$16</c:f>
              <c:numCache>
                <c:formatCode>0.000\ "s"</c:formatCode>
                <c:ptCount val="2"/>
                <c:pt idx="0">
                  <c:v>0</c:v>
                </c:pt>
                <c:pt idx="1">
                  <c:v>4.4000000000000012</c:v>
                </c:pt>
              </c:numCache>
            </c:numRef>
          </c:xVal>
          <c:yVal>
            <c:numRef>
              <c:f>'Equivalent Lateral Forces'!$X$15:$X$16</c:f>
              <c:numCache>
                <c:formatCode>0.0000</c:formatCode>
                <c:ptCount val="2"/>
                <c:pt idx="0">
                  <c:v>2.9796577066666666E-2</c:v>
                </c:pt>
                <c:pt idx="1">
                  <c:v>2.9796577066666666E-2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F6-4536-AD13-0E1E7CEF1308}"/>
            </c:ext>
          </c:extLst>
        </c:ser>
        <c:ser>
          <c:idx val="2"/>
          <c:order val="2"/>
          <c:spPr>
            <a:ln w="41275"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'Equivalent Lateral Forces'!$O$23:$O$58</c:f>
              <c:numCache>
                <c:formatCode>0.000\ "s"</c:formatCode>
                <c:ptCount val="36"/>
                <c:pt idx="0">
                  <c:v>0</c:v>
                </c:pt>
                <c:pt idx="1">
                  <c:v>0.15257054492630584</c:v>
                </c:pt>
                <c:pt idx="2">
                  <c:v>1.1442790869472936</c:v>
                </c:pt>
                <c:pt idx="3">
                  <c:v>1.2000000000000002</c:v>
                </c:pt>
                <c:pt idx="4">
                  <c:v>1.3000000000000003</c:v>
                </c:pt>
                <c:pt idx="5">
                  <c:v>1.4000000000000004</c:v>
                </c:pt>
                <c:pt idx="6">
                  <c:v>1.5000000000000004</c:v>
                </c:pt>
                <c:pt idx="7">
                  <c:v>1.6000000000000005</c:v>
                </c:pt>
                <c:pt idx="8">
                  <c:v>1.7000000000000006</c:v>
                </c:pt>
                <c:pt idx="9">
                  <c:v>1.8000000000000007</c:v>
                </c:pt>
                <c:pt idx="10">
                  <c:v>1.9000000000000008</c:v>
                </c:pt>
                <c:pt idx="11">
                  <c:v>2.0000000000000009</c:v>
                </c:pt>
                <c:pt idx="12">
                  <c:v>2.100000000000001</c:v>
                </c:pt>
                <c:pt idx="13">
                  <c:v>2.2000000000000011</c:v>
                </c:pt>
                <c:pt idx="14">
                  <c:v>2.3000000000000012</c:v>
                </c:pt>
                <c:pt idx="15">
                  <c:v>2.4000000000000012</c:v>
                </c:pt>
                <c:pt idx="16">
                  <c:v>2.5000000000000013</c:v>
                </c:pt>
                <c:pt idx="17">
                  <c:v>2.6000000000000014</c:v>
                </c:pt>
                <c:pt idx="18">
                  <c:v>2.7000000000000015</c:v>
                </c:pt>
                <c:pt idx="19">
                  <c:v>2.8000000000000016</c:v>
                </c:pt>
                <c:pt idx="20">
                  <c:v>2.9000000000000017</c:v>
                </c:pt>
                <c:pt idx="21">
                  <c:v>3.0000000000000018</c:v>
                </c:pt>
                <c:pt idx="22">
                  <c:v>3.1000000000000019</c:v>
                </c:pt>
                <c:pt idx="23">
                  <c:v>3.200000000000002</c:v>
                </c:pt>
                <c:pt idx="24">
                  <c:v>3.300000000000002</c:v>
                </c:pt>
                <c:pt idx="25">
                  <c:v>3.4000000000000021</c:v>
                </c:pt>
                <c:pt idx="26">
                  <c:v>3.5000000000000022</c:v>
                </c:pt>
                <c:pt idx="27">
                  <c:v>3.6000000000000023</c:v>
                </c:pt>
                <c:pt idx="28">
                  <c:v>3.7000000000000024</c:v>
                </c:pt>
                <c:pt idx="29">
                  <c:v>3.8000000000000025</c:v>
                </c:pt>
                <c:pt idx="30">
                  <c:v>3.9000000000000026</c:v>
                </c:pt>
                <c:pt idx="31">
                  <c:v>4.0000000000000027</c:v>
                </c:pt>
                <c:pt idx="32">
                  <c:v>4.1000000000000023</c:v>
                </c:pt>
                <c:pt idx="33">
                  <c:v>4.200000000000002</c:v>
                </c:pt>
                <c:pt idx="34">
                  <c:v>4.3000000000000016</c:v>
                </c:pt>
                <c:pt idx="35">
                  <c:v>4.4000000000000012</c:v>
                </c:pt>
              </c:numCache>
            </c:numRef>
          </c:xVal>
          <c:yVal>
            <c:numRef>
              <c:f>'Equivalent Lateral Forces'!$W$23:$W$58</c:f>
              <c:numCache>
                <c:formatCode>0.000</c:formatCode>
                <c:ptCount val="36"/>
                <c:pt idx="0">
                  <c:v>0.10418383589743591</c:v>
                </c:pt>
                <c:pt idx="1">
                  <c:v>0.10418383589743591</c:v>
                </c:pt>
                <c:pt idx="2">
                  <c:v>0.10418383589743591</c:v>
                </c:pt>
                <c:pt idx="3">
                  <c:v>9.9346153846153848E-2</c:v>
                </c:pt>
                <c:pt idx="4">
                  <c:v>9.1704142011834314E-2</c:v>
                </c:pt>
                <c:pt idx="5">
                  <c:v>8.5153846153846149E-2</c:v>
                </c:pt>
                <c:pt idx="6">
                  <c:v>7.947692307692307E-2</c:v>
                </c:pt>
                <c:pt idx="7">
                  <c:v>7.4509615384615369E-2</c:v>
                </c:pt>
                <c:pt idx="8">
                  <c:v>7.0126696832579175E-2</c:v>
                </c:pt>
                <c:pt idx="9">
                  <c:v>6.6230769230769218E-2</c:v>
                </c:pt>
                <c:pt idx="10">
                  <c:v>6.2744939271255046E-2</c:v>
                </c:pt>
                <c:pt idx="11">
                  <c:v>5.9607692307692292E-2</c:v>
                </c:pt>
                <c:pt idx="12">
                  <c:v>5.6769230769230752E-2</c:v>
                </c:pt>
                <c:pt idx="13">
                  <c:v>5.4188811188811171E-2</c:v>
                </c:pt>
                <c:pt idx="14">
                  <c:v>5.1832775919732427E-2</c:v>
                </c:pt>
                <c:pt idx="15">
                  <c:v>4.967307692307691E-2</c:v>
                </c:pt>
                <c:pt idx="16">
                  <c:v>4.768615384615383E-2</c:v>
                </c:pt>
                <c:pt idx="17">
                  <c:v>4.5852071005917143E-2</c:v>
                </c:pt>
                <c:pt idx="18">
                  <c:v>4.4153846153846134E-2</c:v>
                </c:pt>
                <c:pt idx="19">
                  <c:v>4.2576923076923061E-2</c:v>
                </c:pt>
                <c:pt idx="20">
                  <c:v>4.1108753315649851E-2</c:v>
                </c:pt>
                <c:pt idx="21">
                  <c:v>3.9738461538461528E-2</c:v>
                </c:pt>
                <c:pt idx="22">
                  <c:v>3.8456575682382116E-2</c:v>
                </c:pt>
                <c:pt idx="23">
                  <c:v>3.7254807692307677E-2</c:v>
                </c:pt>
                <c:pt idx="24">
                  <c:v>3.6125874125874105E-2</c:v>
                </c:pt>
                <c:pt idx="25">
                  <c:v>3.506334841628958E-2</c:v>
                </c:pt>
                <c:pt idx="26">
                  <c:v>3.4061538461538449E-2</c:v>
                </c:pt>
                <c:pt idx="27">
                  <c:v>3.3115384615384602E-2</c:v>
                </c:pt>
                <c:pt idx="28">
                  <c:v>3.2220374220374208E-2</c:v>
                </c:pt>
                <c:pt idx="29">
                  <c:v>3.1372469635627516E-2</c:v>
                </c:pt>
                <c:pt idx="30">
                  <c:v>3.0568047337278088E-2</c:v>
                </c:pt>
                <c:pt idx="31">
                  <c:v>2.9803846153846139E-2</c:v>
                </c:pt>
                <c:pt idx="32">
                  <c:v>2.9796577066666666E-2</c:v>
                </c:pt>
                <c:pt idx="33">
                  <c:v>2.9796577066666666E-2</c:v>
                </c:pt>
                <c:pt idx="34">
                  <c:v>2.9796577066666666E-2</c:v>
                </c:pt>
                <c:pt idx="35">
                  <c:v>2.9796577066666666E-2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F6-4536-AD13-0E1E7CEF1308}"/>
            </c:ext>
          </c:extLst>
        </c:ser>
        <c:ser>
          <c:idx val="1"/>
          <c:order val="3"/>
          <c:tx>
            <c:v>Period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'Equivalent Lateral Forces'!$V$11:$V$13</c:f>
              <c:numCache>
                <c:formatCode>0.000\ "s"</c:formatCode>
                <c:ptCount val="3"/>
                <c:pt idx="0">
                  <c:v>0</c:v>
                </c:pt>
                <c:pt idx="1">
                  <c:v>1.1499999999999999</c:v>
                </c:pt>
                <c:pt idx="2">
                  <c:v>1.1499999999999999</c:v>
                </c:pt>
              </c:numCache>
            </c:numRef>
          </c:xVal>
          <c:yVal>
            <c:numRef>
              <c:f>'Equivalent Lateral Forces'!$X$11:$X$13</c:f>
              <c:numCache>
                <c:formatCode>0.0000</c:formatCode>
                <c:ptCount val="3"/>
                <c:pt idx="0">
                  <c:v>0.10366555183946491</c:v>
                </c:pt>
                <c:pt idx="1">
                  <c:v>0.10366555183946491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F6-4536-AD13-0E1E7CEF1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399184"/>
        <c:axId val="870399744"/>
      </c:scatterChart>
      <c:valAx>
        <c:axId val="8703991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Period, T</a:t>
                </a:r>
              </a:p>
            </c:rich>
          </c:tx>
          <c:layout>
            <c:manualLayout>
              <c:xMode val="edge"/>
              <c:yMode val="edge"/>
              <c:x val="0.46546052631578982"/>
              <c:y val="0.92245989304813358"/>
            </c:manualLayout>
          </c:layout>
          <c:overlay val="0"/>
          <c:spPr>
            <a:noFill/>
            <a:ln w="25400">
              <a:noFill/>
            </a:ln>
          </c:spPr>
        </c:title>
        <c:numFmt formatCode="0.00\ &quot;s&quot;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399744"/>
        <c:crosses val="autoZero"/>
        <c:crossBetween val="midCat"/>
      </c:valAx>
      <c:valAx>
        <c:axId val="870399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Sesimc Response Coefficient, Cs</a:t>
                </a:r>
              </a:p>
            </c:rich>
          </c:tx>
          <c:layout>
            <c:manualLayout>
              <c:xMode val="edge"/>
              <c:yMode val="edge"/>
              <c:x val="1.973684210526316E-2"/>
              <c:y val="0.240641711229946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03991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4037037037037028"/>
          <c:y val="0.13567716535433072"/>
          <c:w val="0.22869281045751633"/>
          <c:h val="0.26251120533010297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11" r="0.750000000000004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169251</xdr:colOff>
      <xdr:row>39</xdr:row>
      <xdr:rowOff>90365</xdr:rowOff>
    </xdr:from>
    <xdr:to>
      <xdr:col>9</xdr:col>
      <xdr:colOff>635976</xdr:colOff>
      <xdr:row>56</xdr:row>
      <xdr:rowOff>114300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314325</xdr:colOff>
      <xdr:row>0</xdr:row>
      <xdr:rowOff>76200</xdr:rowOff>
    </xdr:from>
    <xdr:to>
      <xdr:col>1</xdr:col>
      <xdr:colOff>596994</xdr:colOff>
      <xdr:row>3</xdr:row>
      <xdr:rowOff>133598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4B3256-1700-4A6E-BC18-095749C7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6200"/>
          <a:ext cx="1044669" cy="628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201145</xdr:colOff>
      <xdr:row>0</xdr:row>
      <xdr:rowOff>66674</xdr:rowOff>
    </xdr:from>
    <xdr:to>
      <xdr:col>1</xdr:col>
      <xdr:colOff>523054</xdr:colOff>
      <xdr:row>3</xdr:row>
      <xdr:rowOff>150382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82A79-C71D-4588-A963-AD1F31157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45" y="66674"/>
          <a:ext cx="1083909" cy="6552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35</xdr:row>
      <xdr:rowOff>57150</xdr:rowOff>
    </xdr:from>
    <xdr:to>
      <xdr:col>11</xdr:col>
      <xdr:colOff>609600</xdr:colOff>
      <xdr:row>55</xdr:row>
      <xdr:rowOff>120650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31</xdr:row>
      <xdr:rowOff>24129</xdr:rowOff>
    </xdr:from>
    <xdr:to>
      <xdr:col>4</xdr:col>
      <xdr:colOff>334538</xdr:colOff>
      <xdr:row>31</xdr:row>
      <xdr:rowOff>167270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2183781" y="4600775"/>
          <a:ext cx="334537" cy="143141"/>
        </a:xfrm>
        <a:prstGeom prst="right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323850</xdr:colOff>
      <xdr:row>0</xdr:row>
      <xdr:rowOff>66675</xdr:rowOff>
    </xdr:from>
    <xdr:to>
      <xdr:col>2</xdr:col>
      <xdr:colOff>254487</xdr:colOff>
      <xdr:row>3</xdr:row>
      <xdr:rowOff>141710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0172DE-AF36-4777-9EB5-00088652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6675"/>
          <a:ext cx="1073637" cy="6465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57150</xdr:rowOff>
    </xdr:from>
    <xdr:to>
      <xdr:col>2</xdr:col>
      <xdr:colOff>231774</xdr:colOff>
      <xdr:row>3</xdr:row>
      <xdr:rowOff>129987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47C8A-D843-42BA-9B26-779B6FCDF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57150"/>
          <a:ext cx="1079499" cy="6443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0</xdr:row>
      <xdr:rowOff>66675</xdr:rowOff>
    </xdr:from>
    <xdr:to>
      <xdr:col>1</xdr:col>
      <xdr:colOff>454512</xdr:colOff>
      <xdr:row>3</xdr:row>
      <xdr:rowOff>141710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31DBF-6DC2-4DC7-AD3E-045FAA84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66675"/>
          <a:ext cx="1073637" cy="646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2018\10021800475\Engineering\_CALCS\G1%20-%20AUX%20GYM\ASCE%2041-17%20Seismic%20Forces%20-%20Building%20G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Ground Motions"/>
      <sheetName val="Site Coefficients (BSE-2N)"/>
      <sheetName val="Site Coefficients (BSE-2E)"/>
      <sheetName val="Equivalent Lateral Forces"/>
      <sheetName val="Vertical Distribution"/>
      <sheetName val="Diaphragm Forces"/>
    </sheetNames>
    <sheetDataSet>
      <sheetData sheetId="0"/>
      <sheetData sheetId="1">
        <row r="7">
          <cell r="K7">
            <v>0</v>
          </cell>
          <cell r="M7">
            <v>0</v>
          </cell>
          <cell r="O7">
            <v>0</v>
          </cell>
          <cell r="P7">
            <v>1.3</v>
          </cell>
          <cell r="Q7">
            <v>0</v>
          </cell>
          <cell r="R7">
            <v>1.6</v>
          </cell>
          <cell r="S7">
            <v>0</v>
          </cell>
          <cell r="T7">
            <v>2.4</v>
          </cell>
        </row>
        <row r="8">
          <cell r="K8">
            <v>0.25</v>
          </cell>
          <cell r="M8">
            <v>0.25</v>
          </cell>
          <cell r="O8">
            <v>0.25</v>
          </cell>
          <cell r="P8">
            <v>1.3</v>
          </cell>
          <cell r="Q8">
            <v>0.25</v>
          </cell>
          <cell r="R8">
            <v>1.6</v>
          </cell>
          <cell r="S8">
            <v>0.25</v>
          </cell>
          <cell r="T8">
            <v>2.4</v>
          </cell>
        </row>
        <row r="9">
          <cell r="K9">
            <v>0.5</v>
          </cell>
          <cell r="M9">
            <v>0.5</v>
          </cell>
          <cell r="O9">
            <v>0.5</v>
          </cell>
          <cell r="P9">
            <v>1.3</v>
          </cell>
          <cell r="Q9">
            <v>0.5</v>
          </cell>
          <cell r="R9">
            <v>1.4</v>
          </cell>
          <cell r="S9">
            <v>0.5</v>
          </cell>
          <cell r="T9">
            <v>1.7</v>
          </cell>
        </row>
        <row r="10">
          <cell r="K10">
            <v>0.75</v>
          </cell>
          <cell r="M10">
            <v>0.75</v>
          </cell>
          <cell r="O10">
            <v>0.75</v>
          </cell>
          <cell r="P10">
            <v>1.2</v>
          </cell>
          <cell r="Q10">
            <v>0.75</v>
          </cell>
          <cell r="R10">
            <v>1.2</v>
          </cell>
          <cell r="S10">
            <v>0.75</v>
          </cell>
          <cell r="T10">
            <v>1.3</v>
          </cell>
        </row>
        <row r="11">
          <cell r="K11">
            <v>1</v>
          </cell>
          <cell r="M11">
            <v>1</v>
          </cell>
          <cell r="O11">
            <v>1</v>
          </cell>
          <cell r="P11">
            <v>1.2</v>
          </cell>
          <cell r="Q11">
            <v>1</v>
          </cell>
          <cell r="R11">
            <v>1.1000000000000001</v>
          </cell>
          <cell r="S11">
            <v>1</v>
          </cell>
        </row>
        <row r="12">
          <cell r="K12">
            <v>1.25</v>
          </cell>
          <cell r="M12">
            <v>1.25</v>
          </cell>
          <cell r="O12">
            <v>1.25</v>
          </cell>
          <cell r="P12">
            <v>1.2</v>
          </cell>
          <cell r="Q12">
            <v>1.25</v>
          </cell>
          <cell r="R12">
            <v>1</v>
          </cell>
          <cell r="S12">
            <v>1.25</v>
          </cell>
        </row>
        <row r="13">
          <cell r="K13">
            <v>1.5</v>
          </cell>
          <cell r="M13">
            <v>1.5</v>
          </cell>
          <cell r="O13">
            <v>1.5</v>
          </cell>
          <cell r="P13">
            <v>1.2</v>
          </cell>
          <cell r="Q13">
            <v>1.5</v>
          </cell>
          <cell r="R13">
            <v>1</v>
          </cell>
          <cell r="S13">
            <v>1.5</v>
          </cell>
        </row>
        <row r="14">
          <cell r="L14">
            <v>0.878</v>
          </cell>
          <cell r="N14">
            <v>0.878</v>
          </cell>
          <cell r="P14">
            <v>0.878</v>
          </cell>
          <cell r="R14">
            <v>0.878</v>
          </cell>
          <cell r="T14">
            <v>0.878</v>
          </cell>
        </row>
        <row r="15">
          <cell r="P15">
            <v>4</v>
          </cell>
          <cell r="R15">
            <v>4</v>
          </cell>
          <cell r="T15">
            <v>4</v>
          </cell>
        </row>
        <row r="22">
          <cell r="K22">
            <v>0</v>
          </cell>
          <cell r="M22">
            <v>0</v>
          </cell>
          <cell r="O22">
            <v>0</v>
          </cell>
          <cell r="P22">
            <v>1.5</v>
          </cell>
          <cell r="Q22">
            <v>0</v>
          </cell>
          <cell r="R22">
            <v>2.4</v>
          </cell>
          <cell r="S22">
            <v>0</v>
          </cell>
          <cell r="T22">
            <v>4.2</v>
          </cell>
        </row>
        <row r="23">
          <cell r="K23">
            <v>0.1</v>
          </cell>
          <cell r="M23">
            <v>0.1</v>
          </cell>
          <cell r="O23">
            <v>0.1</v>
          </cell>
          <cell r="P23">
            <v>1.5</v>
          </cell>
          <cell r="Q23">
            <v>0.1</v>
          </cell>
          <cell r="R23">
            <v>2.4</v>
          </cell>
          <cell r="S23">
            <v>0.1</v>
          </cell>
          <cell r="T23">
            <v>4.2</v>
          </cell>
        </row>
        <row r="24">
          <cell r="K24">
            <v>0.2</v>
          </cell>
          <cell r="M24">
            <v>0.2</v>
          </cell>
          <cell r="O24">
            <v>0.2</v>
          </cell>
          <cell r="P24">
            <v>1.5</v>
          </cell>
          <cell r="Q24">
            <v>0.2</v>
          </cell>
          <cell r="R24">
            <v>2.2000000000000002</v>
          </cell>
          <cell r="S24">
            <v>0.2</v>
          </cell>
        </row>
        <row r="25">
          <cell r="K25">
            <v>0.3</v>
          </cell>
          <cell r="M25">
            <v>0.3</v>
          </cell>
          <cell r="O25">
            <v>0.3</v>
          </cell>
          <cell r="P25">
            <v>1.5</v>
          </cell>
          <cell r="Q25">
            <v>0.3</v>
          </cell>
          <cell r="R25">
            <v>2</v>
          </cell>
          <cell r="S25">
            <v>0.3</v>
          </cell>
        </row>
        <row r="26">
          <cell r="K26">
            <v>0.4</v>
          </cell>
          <cell r="M26">
            <v>0.4</v>
          </cell>
          <cell r="O26">
            <v>0.4</v>
          </cell>
          <cell r="P26">
            <v>1.5</v>
          </cell>
          <cell r="Q26">
            <v>0.4</v>
          </cell>
          <cell r="R26">
            <v>1.9</v>
          </cell>
          <cell r="S26">
            <v>0.4</v>
          </cell>
        </row>
        <row r="27">
          <cell r="K27">
            <v>0.5</v>
          </cell>
          <cell r="M27">
            <v>0.5</v>
          </cell>
          <cell r="O27">
            <v>0.5</v>
          </cell>
          <cell r="P27">
            <v>1.5</v>
          </cell>
          <cell r="Q27">
            <v>0.5</v>
          </cell>
          <cell r="R27">
            <v>1.8</v>
          </cell>
          <cell r="S27">
            <v>0.5</v>
          </cell>
        </row>
        <row r="28">
          <cell r="K28">
            <v>0.6</v>
          </cell>
          <cell r="M28">
            <v>0.6</v>
          </cell>
          <cell r="O28">
            <v>0.6</v>
          </cell>
          <cell r="P28">
            <v>1.4</v>
          </cell>
          <cell r="Q28">
            <v>0.6</v>
          </cell>
          <cell r="R28">
            <v>1.7</v>
          </cell>
          <cell r="S28">
            <v>0.6</v>
          </cell>
        </row>
        <row r="29">
          <cell r="L29">
            <v>0.39100000000000001</v>
          </cell>
          <cell r="N29">
            <v>0.39100000000000001</v>
          </cell>
          <cell r="P29">
            <v>0.39100000000000001</v>
          </cell>
          <cell r="R29">
            <v>0.39100000000000001</v>
          </cell>
          <cell r="T29">
            <v>0.39100000000000001</v>
          </cell>
        </row>
        <row r="30">
          <cell r="P30">
            <v>4</v>
          </cell>
          <cell r="R30">
            <v>4</v>
          </cell>
          <cell r="T30">
            <v>4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Z749"/>
  <sheetViews>
    <sheetView topLeftCell="A8" zoomScaleNormal="100" zoomScaleSheetLayoutView="100" workbookViewId="0">
      <selection activeCell="G14" sqref="G14"/>
    </sheetView>
  </sheetViews>
  <sheetFormatPr defaultColWidth="9.140625" defaultRowHeight="12.75" x14ac:dyDescent="0.2"/>
  <cols>
    <col min="1" max="2" width="11.42578125" style="2" customWidth="1"/>
    <col min="3" max="3" width="67.140625" style="2" bestFit="1" customWidth="1"/>
    <col min="4" max="4" width="9" style="2" bestFit="1" customWidth="1"/>
    <col min="5" max="10" width="11.42578125" style="2" customWidth="1"/>
    <col min="11" max="22" width="9.140625" style="2"/>
    <col min="23" max="23" width="15.5703125" style="2" bestFit="1" customWidth="1"/>
    <col min="24" max="24" width="10.42578125" style="2" customWidth="1"/>
    <col min="25" max="78" width="9.140625" style="112"/>
    <col min="79" max="16384" width="9.140625" style="2"/>
  </cols>
  <sheetData>
    <row r="1" spans="1:24" ht="15" customHeight="1" x14ac:dyDescent="0.25">
      <c r="A1" s="196"/>
      <c r="B1" s="197"/>
      <c r="C1" s="197"/>
      <c r="D1" s="208" t="s">
        <v>131</v>
      </c>
      <c r="E1" s="307"/>
      <c r="F1" s="308"/>
      <c r="G1" s="309"/>
      <c r="H1" s="217" t="s">
        <v>132</v>
      </c>
      <c r="I1" s="213"/>
      <c r="J1" s="210" t="s">
        <v>133</v>
      </c>
      <c r="K1" s="24"/>
      <c r="L1" s="25" t="s">
        <v>134</v>
      </c>
      <c r="M1" s="26"/>
      <c r="N1" s="24"/>
      <c r="O1" s="24"/>
      <c r="P1" s="24"/>
      <c r="Q1" s="24"/>
      <c r="R1" s="24"/>
      <c r="S1" s="112"/>
      <c r="T1" s="112"/>
      <c r="U1" s="112"/>
      <c r="V1" s="112"/>
      <c r="W1" s="205" t="s">
        <v>178</v>
      </c>
      <c r="X1" s="206">
        <v>2.1</v>
      </c>
    </row>
    <row r="2" spans="1:24" ht="15" customHeight="1" x14ac:dyDescent="0.2">
      <c r="A2" s="200"/>
      <c r="B2" s="201"/>
      <c r="C2" s="201"/>
      <c r="D2" s="208" t="s">
        <v>135</v>
      </c>
      <c r="E2" s="307"/>
      <c r="F2" s="308"/>
      <c r="G2" s="309"/>
      <c r="H2" s="217" t="s">
        <v>136</v>
      </c>
      <c r="I2" s="218"/>
      <c r="J2" s="209" t="s">
        <v>177</v>
      </c>
      <c r="K2" s="24"/>
      <c r="L2" s="26"/>
      <c r="M2" s="26"/>
      <c r="N2" s="24"/>
      <c r="O2" s="24"/>
      <c r="P2" s="24"/>
      <c r="Q2" s="24"/>
      <c r="R2" s="24"/>
      <c r="S2" s="112"/>
      <c r="T2" s="112"/>
      <c r="U2" s="112"/>
      <c r="V2" s="112"/>
      <c r="W2" s="205" t="s">
        <v>179</v>
      </c>
      <c r="X2" s="216">
        <v>45201</v>
      </c>
    </row>
    <row r="3" spans="1:24" ht="15" customHeight="1" x14ac:dyDescent="0.2">
      <c r="A3" s="200"/>
      <c r="B3" s="201"/>
      <c r="C3" s="201"/>
      <c r="D3" s="208" t="s">
        <v>138</v>
      </c>
      <c r="E3" s="307"/>
      <c r="F3" s="308"/>
      <c r="G3" s="309"/>
      <c r="H3" s="217" t="s">
        <v>139</v>
      </c>
      <c r="I3" s="211"/>
      <c r="J3" s="210" t="s">
        <v>140</v>
      </c>
      <c r="K3" s="24"/>
      <c r="L3" s="30"/>
      <c r="M3" s="30"/>
      <c r="N3" s="24"/>
      <c r="O3" s="24"/>
      <c r="P3" s="24"/>
      <c r="Q3" s="24"/>
      <c r="R3" s="24"/>
      <c r="S3" s="112"/>
      <c r="T3" s="112"/>
      <c r="U3" s="112"/>
      <c r="V3" s="112"/>
      <c r="W3" s="112"/>
      <c r="X3" s="112"/>
    </row>
    <row r="4" spans="1:24" ht="15" customHeight="1" x14ac:dyDescent="0.2">
      <c r="A4" s="203"/>
      <c r="B4" s="204"/>
      <c r="C4" s="204"/>
      <c r="D4" s="208" t="s">
        <v>141</v>
      </c>
      <c r="E4" s="310" t="s">
        <v>153</v>
      </c>
      <c r="F4" s="311"/>
      <c r="G4" s="312"/>
      <c r="H4" s="217" t="s">
        <v>136</v>
      </c>
      <c r="I4" s="219"/>
      <c r="J4" s="213"/>
      <c r="K4" s="24"/>
      <c r="L4" s="30"/>
      <c r="M4" s="30"/>
      <c r="N4" s="24"/>
      <c r="O4" s="24"/>
      <c r="P4" s="24"/>
      <c r="Q4" s="24"/>
      <c r="R4" s="24"/>
      <c r="S4" s="112"/>
      <c r="T4" s="112"/>
      <c r="U4" s="112"/>
      <c r="V4" s="112"/>
      <c r="W4" s="112"/>
      <c r="X4" s="112"/>
    </row>
    <row r="5" spans="1:24" ht="15" customHeight="1" x14ac:dyDescent="0.2">
      <c r="A5" s="7"/>
      <c r="J5" s="8"/>
      <c r="K5" s="24"/>
      <c r="L5" s="34"/>
      <c r="M5" s="30"/>
      <c r="N5" s="24"/>
      <c r="O5" s="24"/>
      <c r="P5" s="24"/>
      <c r="Q5" s="24"/>
      <c r="R5" s="24"/>
      <c r="S5" s="112"/>
      <c r="T5" s="112"/>
      <c r="U5" s="112"/>
      <c r="V5" s="112"/>
      <c r="W5" s="112"/>
      <c r="X5" s="112"/>
    </row>
    <row r="6" spans="1:24" ht="15" customHeight="1" thickBot="1" x14ac:dyDescent="0.3">
      <c r="A6" s="45" t="s">
        <v>126</v>
      </c>
      <c r="B6" s="1"/>
      <c r="C6" s="1"/>
      <c r="D6" s="1"/>
      <c r="E6" s="1"/>
      <c r="F6" s="1"/>
      <c r="G6" s="1"/>
      <c r="H6" s="1"/>
      <c r="J6" s="103"/>
      <c r="K6" s="24"/>
      <c r="L6" s="320" t="s">
        <v>164</v>
      </c>
      <c r="M6" s="320"/>
      <c r="N6" s="320"/>
      <c r="O6" s="320"/>
      <c r="P6" s="320"/>
      <c r="Q6" s="320"/>
      <c r="R6" s="24"/>
      <c r="S6" s="112"/>
      <c r="T6" s="112"/>
      <c r="U6" s="112"/>
      <c r="V6" s="112"/>
      <c r="W6" s="112"/>
      <c r="X6" s="112"/>
    </row>
    <row r="7" spans="1:24" ht="15" customHeight="1" x14ac:dyDescent="0.2">
      <c r="A7" s="7"/>
      <c r="J7" s="8"/>
      <c r="K7" s="24"/>
      <c r="L7" s="68"/>
      <c r="M7" s="313" t="s">
        <v>165</v>
      </c>
      <c r="N7" s="314"/>
      <c r="O7" s="314"/>
      <c r="P7" s="314"/>
      <c r="Q7" s="314"/>
      <c r="R7" s="24"/>
      <c r="S7" s="112"/>
      <c r="T7" s="112"/>
      <c r="U7" s="112"/>
      <c r="V7" s="112"/>
      <c r="W7" s="112"/>
      <c r="X7" s="112"/>
    </row>
    <row r="8" spans="1:24" ht="15" customHeight="1" x14ac:dyDescent="0.25">
      <c r="A8" s="7"/>
      <c r="B8" s="88" t="s">
        <v>0</v>
      </c>
      <c r="C8" s="39" t="s">
        <v>1</v>
      </c>
      <c r="E8" s="315" t="s">
        <v>224</v>
      </c>
      <c r="F8" s="316"/>
      <c r="G8" s="316"/>
      <c r="H8" s="317"/>
      <c r="J8" s="8"/>
      <c r="K8" s="24"/>
      <c r="L8" s="38">
        <v>888</v>
      </c>
      <c r="M8" s="318" t="s">
        <v>166</v>
      </c>
      <c r="N8" s="319"/>
      <c r="O8" s="319"/>
      <c r="P8" s="319"/>
      <c r="Q8" s="319"/>
      <c r="R8" s="24"/>
      <c r="S8" s="112"/>
      <c r="T8" s="112"/>
      <c r="U8" s="112"/>
      <c r="V8" s="112"/>
      <c r="W8" s="112"/>
      <c r="X8" s="112"/>
    </row>
    <row r="9" spans="1:24" ht="15" customHeight="1" x14ac:dyDescent="0.25">
      <c r="A9" s="7"/>
      <c r="B9" s="88" t="s">
        <v>122</v>
      </c>
      <c r="C9" s="40">
        <v>45.602978999999998</v>
      </c>
      <c r="J9" s="8"/>
      <c r="K9" s="24"/>
      <c r="L9" s="71">
        <v>1.05</v>
      </c>
      <c r="M9" s="319" t="s">
        <v>167</v>
      </c>
      <c r="N9" s="319"/>
      <c r="O9" s="319"/>
      <c r="P9" s="319"/>
      <c r="Q9" s="319"/>
      <c r="R9" s="24"/>
      <c r="S9" s="112"/>
      <c r="T9" s="112"/>
      <c r="U9" s="112"/>
      <c r="V9" s="112"/>
      <c r="W9" s="112"/>
      <c r="X9" s="112"/>
    </row>
    <row r="10" spans="1:24" ht="15" customHeight="1" x14ac:dyDescent="0.2">
      <c r="A10" s="7"/>
      <c r="B10" s="88" t="s">
        <v>123</v>
      </c>
      <c r="C10" s="40">
        <v>-124.04600000000001</v>
      </c>
      <c r="E10" s="10"/>
      <c r="J10" s="8"/>
      <c r="K10" s="24"/>
      <c r="L10" s="24"/>
      <c r="M10" s="24"/>
      <c r="N10" s="24"/>
      <c r="O10" s="24"/>
      <c r="P10" s="24"/>
      <c r="Q10" s="24"/>
      <c r="R10" s="24"/>
      <c r="S10" s="112"/>
      <c r="T10" s="112"/>
      <c r="U10" s="112"/>
      <c r="V10" s="112"/>
      <c r="W10" s="112"/>
      <c r="X10" s="112"/>
    </row>
    <row r="11" spans="1:24" ht="15" customHeight="1" x14ac:dyDescent="0.2">
      <c r="A11" s="7"/>
      <c r="J11" s="8"/>
      <c r="K11" s="24"/>
      <c r="L11" s="24"/>
      <c r="M11" s="24"/>
      <c r="N11" s="24"/>
      <c r="O11" s="24"/>
      <c r="P11" s="24"/>
      <c r="Q11" s="24"/>
      <c r="R11" s="24"/>
      <c r="S11" s="112"/>
      <c r="T11" s="112"/>
      <c r="U11" s="112"/>
      <c r="V11" s="112"/>
      <c r="W11" s="112"/>
      <c r="X11" s="112"/>
    </row>
    <row r="12" spans="1:24" ht="15" customHeight="1" x14ac:dyDescent="0.3">
      <c r="A12" s="7"/>
      <c r="B12" s="11" t="s">
        <v>113</v>
      </c>
      <c r="C12" s="41">
        <v>0.88700000000000001</v>
      </c>
      <c r="E12" s="315" t="s">
        <v>223</v>
      </c>
      <c r="F12" s="316"/>
      <c r="G12" s="316"/>
      <c r="H12" s="317"/>
      <c r="J12" s="8"/>
      <c r="K12" s="24"/>
      <c r="L12" s="24"/>
      <c r="M12" s="24"/>
      <c r="N12" s="24"/>
      <c r="O12" s="24"/>
      <c r="P12" s="24"/>
      <c r="Q12" s="24"/>
      <c r="R12" s="24"/>
      <c r="S12" s="112"/>
      <c r="T12" s="112"/>
      <c r="U12" s="112"/>
      <c r="V12" s="112"/>
      <c r="W12" s="112"/>
      <c r="X12" s="112"/>
    </row>
    <row r="13" spans="1:24" ht="15" customHeight="1" x14ac:dyDescent="0.3">
      <c r="A13" s="7"/>
      <c r="B13" s="11" t="s">
        <v>2</v>
      </c>
      <c r="C13" s="41">
        <v>0.41</v>
      </c>
      <c r="E13" s="315" t="s">
        <v>223</v>
      </c>
      <c r="F13" s="316"/>
      <c r="G13" s="316"/>
      <c r="H13" s="317"/>
      <c r="J13" s="8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</row>
    <row r="14" spans="1:24" ht="15" customHeight="1" x14ac:dyDescent="0.3">
      <c r="A14" s="7"/>
      <c r="B14" s="88" t="s">
        <v>114</v>
      </c>
      <c r="C14" s="99">
        <f ca="1">'Site Coefficients'!C39</f>
        <v>1.1452</v>
      </c>
      <c r="E14" s="10" t="s">
        <v>115</v>
      </c>
      <c r="J14" s="8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</row>
    <row r="15" spans="1:24" ht="15" customHeight="1" x14ac:dyDescent="0.3">
      <c r="A15" s="7"/>
      <c r="B15" s="88" t="s">
        <v>116</v>
      </c>
      <c r="C15" s="99">
        <f ca="1">'Site Coefficients'!C40</f>
        <v>1.8900000000000001</v>
      </c>
      <c r="E15" s="10" t="s">
        <v>117</v>
      </c>
      <c r="J15" s="8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</row>
    <row r="16" spans="1:24" ht="15" customHeight="1" x14ac:dyDescent="0.2">
      <c r="A16" s="7"/>
      <c r="B16" s="88"/>
      <c r="C16" s="215" t="str">
        <f>+IF(AND(C8="D",C13&gt;=0.2),"See Section 11.4.8 - Design spectrum values increased to meet exception","")</f>
        <v>See Section 11.4.8 - Design spectrum values increased to meet exception</v>
      </c>
      <c r="E16" s="10"/>
      <c r="J16" s="8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</row>
    <row r="17" spans="1:24" ht="15" customHeight="1" x14ac:dyDescent="0.3">
      <c r="A17" s="7"/>
      <c r="B17" s="88" t="s">
        <v>3</v>
      </c>
      <c r="C17" s="104">
        <f ca="1">+C12*C14</f>
        <v>1.0157924</v>
      </c>
      <c r="E17" s="10" t="s">
        <v>124</v>
      </c>
      <c r="J17" s="8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</row>
    <row r="18" spans="1:24" ht="15" customHeight="1" x14ac:dyDescent="0.3">
      <c r="A18" s="7"/>
      <c r="B18" s="88" t="s">
        <v>4</v>
      </c>
      <c r="C18" s="104">
        <f ca="1">+C13*C15</f>
        <v>0.77490000000000003</v>
      </c>
      <c r="E18" s="10" t="s">
        <v>125</v>
      </c>
      <c r="J18" s="8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</row>
    <row r="19" spans="1:24" ht="15" customHeight="1" x14ac:dyDescent="0.2">
      <c r="A19" s="7"/>
      <c r="B19" s="88"/>
      <c r="C19" s="105"/>
      <c r="D19" s="106"/>
      <c r="E19" s="107"/>
      <c r="J19" s="8"/>
      <c r="K19" s="112"/>
      <c r="L19" s="113" t="s">
        <v>14</v>
      </c>
      <c r="M19" s="114"/>
      <c r="N19" s="162"/>
      <c r="O19" s="163"/>
      <c r="P19" s="112"/>
      <c r="Q19" s="112"/>
      <c r="R19" s="112"/>
      <c r="S19" s="112"/>
      <c r="T19" s="112"/>
      <c r="U19" s="112"/>
      <c r="V19" s="112"/>
      <c r="W19" s="112"/>
      <c r="X19" s="112"/>
    </row>
    <row r="20" spans="1:24" ht="15" customHeight="1" thickBot="1" x14ac:dyDescent="0.35">
      <c r="A20" s="7"/>
      <c r="J20" s="8"/>
      <c r="K20" s="112"/>
      <c r="L20" s="115" t="s">
        <v>12</v>
      </c>
      <c r="M20" s="116" t="s">
        <v>21</v>
      </c>
      <c r="N20" s="115" t="s">
        <v>12</v>
      </c>
      <c r="O20" s="116" t="s">
        <v>21</v>
      </c>
      <c r="P20" s="112"/>
      <c r="Q20" s="117" t="s">
        <v>108</v>
      </c>
      <c r="R20" s="112"/>
      <c r="S20" s="112"/>
      <c r="T20" s="112"/>
      <c r="U20" s="112"/>
      <c r="V20" s="112"/>
      <c r="W20" s="112"/>
      <c r="X20" s="112"/>
    </row>
    <row r="21" spans="1:24" ht="15" customHeight="1" x14ac:dyDescent="0.3">
      <c r="A21" s="7"/>
      <c r="B21" s="91" t="s">
        <v>37</v>
      </c>
      <c r="C21" s="108">
        <f ca="1">+C17*2/3</f>
        <v>0.67719493333333336</v>
      </c>
      <c r="E21" s="10" t="s">
        <v>127</v>
      </c>
      <c r="J21" s="8"/>
      <c r="K21" s="112"/>
      <c r="L21" s="118">
        <v>0</v>
      </c>
      <c r="M21" s="119">
        <f ca="1">0.4 * C21</f>
        <v>0.27087797333333336</v>
      </c>
      <c r="N21" s="118">
        <v>0</v>
      </c>
      <c r="O21" s="119">
        <f ca="1">0.4 * C21</f>
        <v>0.27087797333333336</v>
      </c>
      <c r="P21" s="112"/>
      <c r="Q21" s="120">
        <v>0</v>
      </c>
      <c r="R21" s="121">
        <f ca="1">C39</f>
        <v>0.4492173913043479</v>
      </c>
      <c r="S21" s="112"/>
      <c r="T21" s="112"/>
      <c r="U21" s="112"/>
      <c r="V21" s="112"/>
      <c r="W21" s="112"/>
      <c r="X21" s="112"/>
    </row>
    <row r="22" spans="1:24" ht="15" customHeight="1" x14ac:dyDescent="0.3">
      <c r="A22" s="7"/>
      <c r="B22" s="91" t="s">
        <v>38</v>
      </c>
      <c r="C22" s="108">
        <f ca="1">+C18*2/3</f>
        <v>0.51660000000000006</v>
      </c>
      <c r="E22" s="10" t="s">
        <v>128</v>
      </c>
      <c r="J22" s="8"/>
      <c r="K22" s="112"/>
      <c r="L22" s="122">
        <f ca="1">C24</f>
        <v>0.15257054492630584</v>
      </c>
      <c r="M22" s="123">
        <f ca="1">C21</f>
        <v>0.67719493333333336</v>
      </c>
      <c r="N22" s="122">
        <f ca="1">+C24</f>
        <v>0.15257054492630584</v>
      </c>
      <c r="O22" s="123">
        <f ca="1">C21</f>
        <v>0.67719493333333336</v>
      </c>
      <c r="P22" s="112"/>
      <c r="Q22" s="124">
        <f>C33</f>
        <v>1.1499999999999999</v>
      </c>
      <c r="R22" s="119">
        <f ca="1">C39</f>
        <v>0.4492173913043479</v>
      </c>
      <c r="S22" s="112"/>
      <c r="T22" s="112"/>
      <c r="U22" s="112"/>
      <c r="V22" s="112"/>
      <c r="W22" s="112"/>
      <c r="X22" s="112"/>
    </row>
    <row r="23" spans="1:24" ht="15" customHeight="1" x14ac:dyDescent="0.2">
      <c r="A23" s="7"/>
      <c r="J23" s="8"/>
      <c r="K23" s="112"/>
      <c r="L23" s="125">
        <f ca="1">+C25</f>
        <v>0.76285272463152909</v>
      </c>
      <c r="M23" s="121">
        <f ca="1">C21</f>
        <v>0.67719493333333336</v>
      </c>
      <c r="N23" s="125">
        <f ca="1">IF(AND(C8="D",C13&gt;=0.2),1.5*C25,C25)</f>
        <v>1.1442790869472936</v>
      </c>
      <c r="O23" s="121">
        <f ca="1">C21</f>
        <v>0.67719493333333336</v>
      </c>
      <c r="P23" s="112"/>
      <c r="Q23" s="126">
        <f>C33</f>
        <v>1.1499999999999999</v>
      </c>
      <c r="R23" s="127">
        <v>0</v>
      </c>
      <c r="S23" s="112"/>
      <c r="T23" s="112"/>
      <c r="U23" s="112"/>
      <c r="V23" s="112"/>
      <c r="W23" s="112"/>
      <c r="X23" s="112"/>
    </row>
    <row r="24" spans="1:24" ht="15" customHeight="1" x14ac:dyDescent="0.3">
      <c r="A24" s="7"/>
      <c r="B24" s="88" t="s">
        <v>8</v>
      </c>
      <c r="C24" s="109">
        <f ca="1">0.2 * C25</f>
        <v>0.15257054492630584</v>
      </c>
      <c r="E24" s="110" t="s">
        <v>9</v>
      </c>
      <c r="J24" s="8"/>
      <c r="K24" s="112"/>
      <c r="L24" s="125">
        <f ca="1">ROUNDUP(L23 + 0.00001,1)</f>
        <v>0.79999999999999993</v>
      </c>
      <c r="M24" s="121">
        <f ca="1">+IF(L24&gt;$C$26,$C$22*$C$26/L24^2,$C$22 / L24)</f>
        <v>0.64575000000000016</v>
      </c>
      <c r="N24" s="125">
        <f ca="1">ROUNDUP(N23 + 0.00001,1)</f>
        <v>1.2000000000000002</v>
      </c>
      <c r="O24" s="121">
        <f ca="1">IF(AND($C$8="D",$C$13&gt;=0.2),1.5*IF(N24&gt;$C$26,$C$22*$C$26/N24^2,$C$22 / N24),IF(N24&gt;$C$26,$C$22*$C$26/N24^2,$C$22 / N24))</f>
        <v>0.64575000000000005</v>
      </c>
      <c r="P24" s="112"/>
      <c r="Q24" s="117"/>
      <c r="R24" s="117"/>
      <c r="S24" s="112"/>
      <c r="T24" s="112"/>
      <c r="U24" s="112"/>
      <c r="V24" s="112"/>
      <c r="W24" s="112"/>
      <c r="X24" s="112"/>
    </row>
    <row r="25" spans="1:24" ht="15" customHeight="1" x14ac:dyDescent="0.3">
      <c r="A25" s="7"/>
      <c r="B25" s="88" t="s">
        <v>7</v>
      </c>
      <c r="C25" s="109">
        <f ca="1">C22 / C21</f>
        <v>0.76285272463152909</v>
      </c>
      <c r="E25" s="110" t="s">
        <v>10</v>
      </c>
      <c r="J25" s="8"/>
      <c r="K25" s="112"/>
      <c r="L25" s="124">
        <f ca="1">L24 + 0.1</f>
        <v>0.89999999999999991</v>
      </c>
      <c r="M25" s="119">
        <f t="shared" ref="M25:M26" ca="1" si="0">+IF(L25&gt;$C$26,$C$22*$C$26/L25^2,$C$22 / L25)</f>
        <v>0.57400000000000018</v>
      </c>
      <c r="N25" s="124">
        <f ca="1">N24 + 0.1</f>
        <v>1.3000000000000003</v>
      </c>
      <c r="O25" s="119">
        <f ca="1">IF(AND($C$8="D",$C$13&gt;=0.2),1.5*IF(N25&gt;$C$26,$C$22*$C$26/N25^2,$C$22 / N25),IF(N25&gt;$C$26,$C$22*$C$26/N25^2,$C$22 / N25))</f>
        <v>0.59607692307692295</v>
      </c>
      <c r="P25" s="112"/>
      <c r="Q25" s="117"/>
      <c r="R25" s="117"/>
      <c r="S25" s="112"/>
      <c r="T25" s="112"/>
      <c r="U25" s="112"/>
      <c r="V25" s="112"/>
      <c r="W25" s="112"/>
      <c r="X25" s="112"/>
    </row>
    <row r="26" spans="1:24" ht="15" customHeight="1" x14ac:dyDescent="0.3">
      <c r="A26" s="7"/>
      <c r="B26" s="88" t="s">
        <v>39</v>
      </c>
      <c r="C26" s="73">
        <v>16</v>
      </c>
      <c r="E26" s="110" t="s">
        <v>40</v>
      </c>
      <c r="J26" s="8"/>
      <c r="K26" s="112"/>
      <c r="L26" s="124">
        <f t="shared" ref="L26:N27" ca="1" si="1">L25 + 0.1</f>
        <v>0.99999999999999989</v>
      </c>
      <c r="M26" s="119">
        <f t="shared" ca="1" si="0"/>
        <v>0.51660000000000017</v>
      </c>
      <c r="N26" s="124">
        <f t="shared" ca="1" si="1"/>
        <v>1.4000000000000004</v>
      </c>
      <c r="O26" s="119">
        <f ca="1">IF(AND($C$8="D",$C$13&gt;=0.2),1.5*IF(N26&gt;$C$26,$C$22*$C$26/N26^2,$C$22 / N26),IF(N26&gt;$C$26,$C$22*$C$26/N26^2,$C$22 / N26))</f>
        <v>0.55349999999999988</v>
      </c>
      <c r="P26" s="112"/>
      <c r="Q26" s="125">
        <f ca="1">C24</f>
        <v>0.15257054492630584</v>
      </c>
      <c r="R26" s="128">
        <v>0</v>
      </c>
      <c r="S26" s="112"/>
      <c r="T26" s="112"/>
      <c r="U26" s="112"/>
      <c r="V26" s="112"/>
      <c r="W26" s="112"/>
      <c r="X26" s="112"/>
    </row>
    <row r="27" spans="1:24" ht="15" customHeight="1" x14ac:dyDescent="0.2">
      <c r="A27" s="7"/>
      <c r="B27" s="88"/>
      <c r="C27" s="111"/>
      <c r="E27" s="110"/>
      <c r="J27" s="8"/>
      <c r="K27" s="112"/>
      <c r="L27" s="124">
        <f t="shared" ca="1" si="1"/>
        <v>1.0999999999999999</v>
      </c>
      <c r="M27" s="119">
        <f ca="1">+IF(L27&gt;$C$26,$C$22*$C$26/L27^2,$C$22 / L27)</f>
        <v>0.46963636363636374</v>
      </c>
      <c r="N27" s="124">
        <f t="shared" ca="1" si="1"/>
        <v>1.5000000000000004</v>
      </c>
      <c r="O27" s="119">
        <f t="shared" ref="O27" ca="1" si="2">IF(AND($C$8="D",$C$13&gt;=0.2),1.5*IF(N27&gt;$C$26,$C$22*$C$26/N27^2,$C$22 / N27),IF(N27&gt;$C$26,$C$22*$C$26/N27^2,$C$22 / N27))</f>
        <v>0.51659999999999995</v>
      </c>
      <c r="P27" s="112"/>
      <c r="Q27" s="126">
        <f ca="1">C24</f>
        <v>0.15257054492630584</v>
      </c>
      <c r="R27" s="134">
        <f ca="1">C21</f>
        <v>0.67719493333333336</v>
      </c>
      <c r="S27" s="112"/>
      <c r="T27" s="112"/>
      <c r="U27" s="112"/>
      <c r="V27" s="112"/>
      <c r="W27" s="112"/>
      <c r="X27" s="112"/>
    </row>
    <row r="28" spans="1:24" ht="15" customHeight="1" x14ac:dyDescent="0.3">
      <c r="A28" s="7"/>
      <c r="B28" s="11" t="s">
        <v>130</v>
      </c>
      <c r="C28" s="214">
        <f>'Vertical Distribution'!D18</f>
        <v>42.5</v>
      </c>
      <c r="E28" s="107" t="s">
        <v>180</v>
      </c>
      <c r="J28" s="8"/>
      <c r="K28" s="112"/>
      <c r="L28" s="124">
        <f t="shared" ref="L28:L39" ca="1" si="3">L27 + 0.1</f>
        <v>1.2</v>
      </c>
      <c r="M28" s="119">
        <f t="shared" ref="M28:M69" ca="1" si="4">+IF(L28&gt;$C$26,$C$22*$C$26/L28^2,$C$22 / L28)</f>
        <v>0.43050000000000005</v>
      </c>
      <c r="N28" s="124">
        <f t="shared" ref="N28:N39" ca="1" si="5">N27 + 0.1</f>
        <v>1.6000000000000005</v>
      </c>
      <c r="O28" s="119">
        <f t="shared" ref="O28:O69" ca="1" si="6">IF(AND($C$8="D",$C$13&gt;=0.2),1.5*IF(N28&gt;$C$26,$C$22*$C$26/N28^2,$C$22 / N28),IF(N28&gt;$C$26,$C$22*$C$26/N28^2,$C$22 / N28))</f>
        <v>0.48431249999999987</v>
      </c>
      <c r="P28" s="112"/>
      <c r="Q28" s="129"/>
      <c r="R28" s="130"/>
      <c r="S28" s="112"/>
      <c r="T28" s="112"/>
      <c r="U28" s="112"/>
      <c r="V28" s="112"/>
      <c r="W28" s="112"/>
      <c r="X28" s="112"/>
    </row>
    <row r="29" spans="1:24" ht="15" customHeight="1" x14ac:dyDescent="0.3">
      <c r="A29" s="302"/>
      <c r="B29" s="11" t="s">
        <v>81</v>
      </c>
      <c r="C29" s="74">
        <f>0.02*((C28))^0.75</f>
        <v>0.332906054148081</v>
      </c>
      <c r="E29" s="107" t="s">
        <v>129</v>
      </c>
      <c r="J29" s="8"/>
      <c r="K29" s="112"/>
      <c r="L29" s="124">
        <f t="shared" ca="1" si="3"/>
        <v>1.3</v>
      </c>
      <c r="M29" s="119">
        <f t="shared" ca="1" si="4"/>
        <v>0.39738461538461539</v>
      </c>
      <c r="N29" s="124">
        <f t="shared" ca="1" si="5"/>
        <v>1.7000000000000006</v>
      </c>
      <c r="O29" s="119">
        <f t="shared" ca="1" si="6"/>
        <v>0.45582352941176457</v>
      </c>
      <c r="P29" s="112"/>
      <c r="Q29" s="117"/>
      <c r="R29" s="117"/>
      <c r="S29" s="112"/>
      <c r="T29" s="112"/>
      <c r="U29" s="112"/>
      <c r="V29" s="112"/>
      <c r="W29" s="112"/>
      <c r="X29" s="112"/>
    </row>
    <row r="30" spans="1:24" ht="15" customHeight="1" x14ac:dyDescent="0.3">
      <c r="A30" s="302"/>
      <c r="B30" s="11" t="s">
        <v>111</v>
      </c>
      <c r="C30" s="75" t="s">
        <v>46</v>
      </c>
      <c r="E30" s="107" t="s">
        <v>82</v>
      </c>
      <c r="J30" s="8"/>
      <c r="K30" s="112"/>
      <c r="L30" s="124">
        <f t="shared" ca="1" si="3"/>
        <v>1.4000000000000001</v>
      </c>
      <c r="M30" s="119">
        <f t="shared" ca="1" si="4"/>
        <v>0.36899999999999999</v>
      </c>
      <c r="N30" s="124">
        <f t="shared" ca="1" si="5"/>
        <v>1.8000000000000007</v>
      </c>
      <c r="O30" s="119">
        <f t="shared" ca="1" si="6"/>
        <v>0.43049999999999988</v>
      </c>
      <c r="P30" s="112"/>
      <c r="Q30" s="125">
        <f ca="1">C25</f>
        <v>0.76285272463152909</v>
      </c>
      <c r="R30" s="131">
        <v>0</v>
      </c>
      <c r="S30" s="112"/>
      <c r="T30" s="112"/>
      <c r="U30" s="112"/>
      <c r="V30" s="112"/>
      <c r="W30" s="112"/>
      <c r="X30" s="112"/>
    </row>
    <row r="31" spans="1:24" ht="15" customHeight="1" x14ac:dyDescent="0.2">
      <c r="A31" s="7"/>
      <c r="B31" s="88" t="s">
        <v>18</v>
      </c>
      <c r="C31" s="74" t="s">
        <v>46</v>
      </c>
      <c r="E31" s="110" t="s">
        <v>33</v>
      </c>
      <c r="J31" s="8"/>
      <c r="K31" s="112"/>
      <c r="L31" s="124">
        <f t="shared" ca="1" si="3"/>
        <v>1.5000000000000002</v>
      </c>
      <c r="M31" s="119">
        <f t="shared" ca="1" si="4"/>
        <v>0.34439999999999998</v>
      </c>
      <c r="N31" s="124">
        <f t="shared" ca="1" si="5"/>
        <v>1.9000000000000008</v>
      </c>
      <c r="O31" s="119">
        <f t="shared" ca="1" si="6"/>
        <v>0.40784210526315778</v>
      </c>
      <c r="P31" s="112"/>
      <c r="Q31" s="126">
        <f ca="1">C25</f>
        <v>0.76285272463152909</v>
      </c>
      <c r="R31" s="134">
        <f ca="1">C21</f>
        <v>0.67719493333333336</v>
      </c>
      <c r="S31" s="112"/>
      <c r="T31" s="112" t="s">
        <v>219</v>
      </c>
      <c r="U31" s="112"/>
      <c r="V31" s="112"/>
      <c r="W31" s="112"/>
      <c r="X31" s="112"/>
    </row>
    <row r="32" spans="1:24" ht="15" customHeight="1" x14ac:dyDescent="0.3">
      <c r="A32" s="7"/>
      <c r="B32" s="11" t="s">
        <v>83</v>
      </c>
      <c r="C32" s="39">
        <v>1</v>
      </c>
      <c r="E32" s="10" t="s">
        <v>84</v>
      </c>
      <c r="J32" s="8"/>
      <c r="K32" s="112"/>
      <c r="L32" s="124">
        <f t="shared" ca="1" si="3"/>
        <v>1.6000000000000003</v>
      </c>
      <c r="M32" s="119">
        <f t="shared" ca="1" si="4"/>
        <v>0.32287499999999997</v>
      </c>
      <c r="N32" s="124">
        <f t="shared" ca="1" si="5"/>
        <v>2.0000000000000009</v>
      </c>
      <c r="O32" s="119">
        <f t="shared" ca="1" si="6"/>
        <v>0.38744999999999985</v>
      </c>
      <c r="P32" s="112"/>
      <c r="Q32" s="117"/>
      <c r="R32" s="117"/>
      <c r="S32" s="112"/>
      <c r="T32" s="112"/>
      <c r="U32" s="112"/>
      <c r="V32" s="112"/>
      <c r="W32" s="112"/>
      <c r="X32" s="112"/>
    </row>
    <row r="33" spans="1:24" ht="15" customHeight="1" x14ac:dyDescent="0.2">
      <c r="A33" s="7"/>
      <c r="B33" s="91" t="s">
        <v>34</v>
      </c>
      <c r="C33" s="76">
        <v>1.1499999999999999</v>
      </c>
      <c r="E33" s="107" t="s">
        <v>218</v>
      </c>
      <c r="J33" s="8"/>
      <c r="K33" s="112"/>
      <c r="L33" s="124">
        <f t="shared" ca="1" si="3"/>
        <v>1.7000000000000004</v>
      </c>
      <c r="M33" s="119">
        <f t="shared" ca="1" si="4"/>
        <v>0.30388235294117644</v>
      </c>
      <c r="N33" s="124">
        <f t="shared" ca="1" si="5"/>
        <v>2.100000000000001</v>
      </c>
      <c r="O33" s="119">
        <f t="shared" ca="1" si="6"/>
        <v>0.36899999999999988</v>
      </c>
      <c r="P33" s="112"/>
      <c r="Q33" s="224">
        <f>C26</f>
        <v>16</v>
      </c>
      <c r="R33" s="131">
        <v>0</v>
      </c>
      <c r="S33" s="112"/>
      <c r="T33" s="112" t="s">
        <v>220</v>
      </c>
      <c r="U33" s="112"/>
      <c r="V33" s="112"/>
      <c r="W33" s="112"/>
      <c r="X33" s="112"/>
    </row>
    <row r="34" spans="1:24" ht="15" customHeight="1" x14ac:dyDescent="0.2">
      <c r="A34" s="7"/>
      <c r="J34" s="8"/>
      <c r="K34" s="112"/>
      <c r="L34" s="124">
        <f t="shared" ca="1" si="3"/>
        <v>1.8000000000000005</v>
      </c>
      <c r="M34" s="119">
        <f t="shared" ca="1" si="4"/>
        <v>0.28699999999999998</v>
      </c>
      <c r="N34" s="124">
        <f t="shared" ca="1" si="5"/>
        <v>2.2000000000000011</v>
      </c>
      <c r="O34" s="119">
        <f t="shared" ca="1" si="6"/>
        <v>0.35222727272727261</v>
      </c>
      <c r="P34" s="112"/>
      <c r="Q34" s="225">
        <f>C26</f>
        <v>16</v>
      </c>
      <c r="R34" s="134">
        <f ca="1">C22 / C26</f>
        <v>3.2287500000000004E-2</v>
      </c>
      <c r="S34" s="112"/>
      <c r="T34" s="112"/>
      <c r="U34" s="112"/>
      <c r="V34" s="112"/>
      <c r="W34" s="112"/>
      <c r="X34" s="112"/>
    </row>
    <row r="35" spans="1:24" ht="15" customHeight="1" x14ac:dyDescent="0.3">
      <c r="A35" s="7"/>
      <c r="B35" s="88" t="s">
        <v>11</v>
      </c>
      <c r="C35" s="104">
        <f ca="1">C21 * (0.4 + 0.6 * C33 / C24)</f>
        <v>3.3334907746816977</v>
      </c>
      <c r="E35" s="107" t="s">
        <v>85</v>
      </c>
      <c r="J35" s="8"/>
      <c r="K35" s="112"/>
      <c r="L35" s="124">
        <f t="shared" ca="1" si="3"/>
        <v>1.9000000000000006</v>
      </c>
      <c r="M35" s="119">
        <f t="shared" ca="1" si="4"/>
        <v>0.27189473684210519</v>
      </c>
      <c r="N35" s="124">
        <f t="shared" ca="1" si="5"/>
        <v>2.3000000000000012</v>
      </c>
      <c r="O35" s="119">
        <f t="shared" ca="1" si="6"/>
        <v>0.33691304347826079</v>
      </c>
      <c r="P35" s="112"/>
      <c r="Q35" s="132"/>
      <c r="R35" s="132"/>
      <c r="S35" s="112"/>
      <c r="T35" s="112"/>
      <c r="U35" s="112"/>
      <c r="V35" s="112"/>
      <c r="W35" s="112"/>
      <c r="X35" s="112"/>
    </row>
    <row r="36" spans="1:24" ht="15" customHeight="1" x14ac:dyDescent="0.3">
      <c r="A36" s="7"/>
      <c r="B36" s="11" t="s">
        <v>109</v>
      </c>
      <c r="C36" s="104">
        <f ca="1">C21</f>
        <v>0.67719493333333336</v>
      </c>
      <c r="E36" s="110" t="s">
        <v>41</v>
      </c>
      <c r="J36" s="8"/>
      <c r="K36" s="112"/>
      <c r="L36" s="124">
        <f t="shared" ca="1" si="3"/>
        <v>2.0000000000000004</v>
      </c>
      <c r="M36" s="119">
        <f t="shared" ca="1" si="4"/>
        <v>0.25829999999999997</v>
      </c>
      <c r="N36" s="124">
        <f t="shared" ca="1" si="5"/>
        <v>2.4000000000000012</v>
      </c>
      <c r="O36" s="119">
        <f t="shared" ca="1" si="6"/>
        <v>0.32287499999999986</v>
      </c>
      <c r="P36" s="112"/>
      <c r="Q36" s="133"/>
      <c r="R36" s="133"/>
      <c r="S36" s="112"/>
      <c r="T36" s="112"/>
      <c r="U36" s="112"/>
      <c r="V36" s="112"/>
      <c r="W36" s="112"/>
      <c r="X36" s="112"/>
    </row>
    <row r="37" spans="1:24" ht="15" customHeight="1" x14ac:dyDescent="0.3">
      <c r="A37" s="7"/>
      <c r="B37" s="11" t="s">
        <v>109</v>
      </c>
      <c r="C37" s="104">
        <f ca="1">C22 / C33</f>
        <v>0.4492173913043479</v>
      </c>
      <c r="E37" s="110" t="s">
        <v>42</v>
      </c>
      <c r="J37" s="8"/>
      <c r="K37" s="112"/>
      <c r="L37" s="124">
        <f t="shared" ca="1" si="3"/>
        <v>2.1000000000000005</v>
      </c>
      <c r="M37" s="119">
        <f t="shared" ca="1" si="4"/>
        <v>0.24599999999999997</v>
      </c>
      <c r="N37" s="124">
        <f t="shared" ca="1" si="5"/>
        <v>2.5000000000000013</v>
      </c>
      <c r="O37" s="119">
        <f t="shared" ca="1" si="6"/>
        <v>0.30995999999999985</v>
      </c>
      <c r="P37" s="112"/>
      <c r="Q37" s="133"/>
      <c r="R37" s="133"/>
      <c r="S37" s="112"/>
      <c r="T37" s="112"/>
      <c r="U37" s="112"/>
      <c r="V37" s="112"/>
      <c r="W37" s="112"/>
      <c r="X37" s="112"/>
    </row>
    <row r="38" spans="1:24" ht="15" customHeight="1" x14ac:dyDescent="0.3">
      <c r="A38" s="7"/>
      <c r="B38" s="11" t="s">
        <v>109</v>
      </c>
      <c r="C38" s="104">
        <f ca="1">C22 * C26 / C33^2</f>
        <v>6.2499810964083196</v>
      </c>
      <c r="E38" s="107" t="s">
        <v>86</v>
      </c>
      <c r="J38" s="8"/>
      <c r="K38" s="112"/>
      <c r="L38" s="124">
        <f t="shared" ca="1" si="3"/>
        <v>2.2000000000000006</v>
      </c>
      <c r="M38" s="119">
        <f t="shared" ca="1" si="4"/>
        <v>0.23481818181818179</v>
      </c>
      <c r="N38" s="124">
        <f t="shared" ca="1" si="5"/>
        <v>2.6000000000000014</v>
      </c>
      <c r="O38" s="119">
        <f t="shared" ca="1" si="6"/>
        <v>0.29803846153846142</v>
      </c>
      <c r="P38" s="112"/>
      <c r="Q38" s="133"/>
      <c r="R38" s="133"/>
      <c r="S38" s="112"/>
      <c r="T38" s="112"/>
      <c r="U38" s="112"/>
      <c r="V38" s="112"/>
      <c r="W38" s="112"/>
      <c r="X38" s="112"/>
    </row>
    <row r="39" spans="1:24" ht="15" customHeight="1" x14ac:dyDescent="0.25">
      <c r="A39" s="7"/>
      <c r="B39" s="91" t="s">
        <v>13</v>
      </c>
      <c r="C39" s="108">
        <f ca="1">IF(C33 &lt; C24, C35, IF(AND(C33 &gt; C24, C33 &lt; C25), C36, IF(AND(C33 &gt; C25, C33 &lt; C26), C37, C38)))</f>
        <v>0.4492173913043479</v>
      </c>
      <c r="J39" s="8"/>
      <c r="K39" s="112"/>
      <c r="L39" s="124">
        <f t="shared" ca="1" si="3"/>
        <v>2.3000000000000007</v>
      </c>
      <c r="M39" s="119">
        <f t="shared" ca="1" si="4"/>
        <v>0.22460869565217387</v>
      </c>
      <c r="N39" s="124">
        <f t="shared" ca="1" si="5"/>
        <v>2.7000000000000015</v>
      </c>
      <c r="O39" s="119">
        <f t="shared" ca="1" si="6"/>
        <v>0.28699999999999987</v>
      </c>
      <c r="P39" s="112"/>
      <c r="Q39" s="133"/>
      <c r="R39" s="133"/>
      <c r="S39" s="112"/>
      <c r="T39" s="112"/>
      <c r="U39" s="112"/>
      <c r="V39" s="112"/>
      <c r="W39" s="112"/>
      <c r="X39" s="112"/>
    </row>
    <row r="40" spans="1:24" ht="15" customHeight="1" x14ac:dyDescent="0.2">
      <c r="A40" s="7"/>
      <c r="J40" s="8"/>
      <c r="K40" s="112"/>
      <c r="L40" s="124">
        <f t="shared" ref="L40:N56" ca="1" si="7">L39 + 0.2</f>
        <v>2.5000000000000009</v>
      </c>
      <c r="M40" s="119">
        <f t="shared" ca="1" si="4"/>
        <v>0.20663999999999996</v>
      </c>
      <c r="N40" s="124">
        <f t="shared" ca="1" si="7"/>
        <v>2.9000000000000017</v>
      </c>
      <c r="O40" s="119">
        <f t="shared" ca="1" si="6"/>
        <v>0.26720689655172403</v>
      </c>
      <c r="P40" s="112"/>
      <c r="Q40" s="133"/>
      <c r="R40" s="133"/>
      <c r="S40" s="112"/>
      <c r="T40" s="112"/>
      <c r="U40" s="112"/>
      <c r="V40" s="112"/>
      <c r="W40" s="112"/>
      <c r="X40" s="112"/>
    </row>
    <row r="41" spans="1:24" ht="15" customHeight="1" x14ac:dyDescent="0.2">
      <c r="A41" s="7"/>
      <c r="J41" s="8"/>
      <c r="K41" s="112"/>
      <c r="L41" s="124">
        <f t="shared" ca="1" si="7"/>
        <v>2.7000000000000011</v>
      </c>
      <c r="M41" s="119">
        <f t="shared" ca="1" si="4"/>
        <v>0.19133333333333327</v>
      </c>
      <c r="N41" s="124">
        <f t="shared" ca="1" si="7"/>
        <v>3.1000000000000019</v>
      </c>
      <c r="O41" s="119">
        <f t="shared" ca="1" si="6"/>
        <v>0.24996774193548377</v>
      </c>
      <c r="P41" s="112"/>
      <c r="Q41" s="133"/>
      <c r="R41" s="133"/>
      <c r="S41" s="112"/>
      <c r="T41" s="112"/>
      <c r="U41" s="112"/>
      <c r="V41" s="112"/>
      <c r="W41" s="112"/>
      <c r="X41" s="112"/>
    </row>
    <row r="42" spans="1:24" ht="15" customHeight="1" x14ac:dyDescent="0.2">
      <c r="A42" s="7"/>
      <c r="J42" s="8"/>
      <c r="K42" s="112"/>
      <c r="L42" s="124">
        <f t="shared" ca="1" si="7"/>
        <v>2.9000000000000012</v>
      </c>
      <c r="M42" s="119">
        <f t="shared" ca="1" si="4"/>
        <v>0.17813793103448269</v>
      </c>
      <c r="N42" s="124">
        <f t="shared" ca="1" si="7"/>
        <v>3.300000000000002</v>
      </c>
      <c r="O42" s="119">
        <f t="shared" ca="1" si="6"/>
        <v>0.2348181818181817</v>
      </c>
      <c r="P42" s="112"/>
      <c r="Q42" s="133"/>
      <c r="R42" s="133"/>
      <c r="S42" s="112"/>
      <c r="T42" s="112"/>
      <c r="U42" s="112"/>
      <c r="V42" s="112"/>
      <c r="W42" s="112"/>
      <c r="X42" s="112"/>
    </row>
    <row r="43" spans="1:24" ht="15" customHeight="1" x14ac:dyDescent="0.2">
      <c r="A43" s="7"/>
      <c r="J43" s="8"/>
      <c r="K43" s="112"/>
      <c r="L43" s="124">
        <f t="shared" ca="1" si="7"/>
        <v>3.1000000000000014</v>
      </c>
      <c r="M43" s="119">
        <f t="shared" ca="1" si="4"/>
        <v>0.16664516129032253</v>
      </c>
      <c r="N43" s="124">
        <f t="shared" ca="1" si="7"/>
        <v>3.5000000000000022</v>
      </c>
      <c r="O43" s="119">
        <f t="shared" ca="1" si="6"/>
        <v>0.22139999999999987</v>
      </c>
      <c r="P43" s="112"/>
      <c r="Q43" s="133"/>
      <c r="R43" s="133"/>
      <c r="S43" s="112"/>
      <c r="T43" s="112"/>
      <c r="U43" s="112"/>
      <c r="V43" s="112"/>
      <c r="W43" s="112"/>
      <c r="X43" s="112"/>
    </row>
    <row r="44" spans="1:24" ht="15" customHeight="1" x14ac:dyDescent="0.2">
      <c r="A44" s="7"/>
      <c r="J44" s="8"/>
      <c r="K44" s="112"/>
      <c r="L44" s="124">
        <f t="shared" ca="1" si="7"/>
        <v>3.3000000000000016</v>
      </c>
      <c r="M44" s="119">
        <f t="shared" ca="1" si="4"/>
        <v>0.15654545454545449</v>
      </c>
      <c r="N44" s="124">
        <f t="shared" ca="1" si="7"/>
        <v>3.7000000000000024</v>
      </c>
      <c r="O44" s="119">
        <f t="shared" ca="1" si="6"/>
        <v>0.20943243243243231</v>
      </c>
      <c r="P44" s="112"/>
      <c r="Q44" s="133"/>
      <c r="R44" s="133"/>
      <c r="S44" s="112"/>
      <c r="T44" s="112"/>
      <c r="U44" s="112"/>
      <c r="V44" s="112"/>
      <c r="W44" s="112"/>
      <c r="X44" s="112"/>
    </row>
    <row r="45" spans="1:24" ht="15" customHeight="1" x14ac:dyDescent="0.2">
      <c r="A45" s="7"/>
      <c r="J45" s="8"/>
      <c r="K45" s="112"/>
      <c r="L45" s="124">
        <f t="shared" ca="1" si="7"/>
        <v>3.5000000000000018</v>
      </c>
      <c r="M45" s="119">
        <f t="shared" ca="1" si="4"/>
        <v>0.14759999999999995</v>
      </c>
      <c r="N45" s="124">
        <f t="shared" ca="1" si="7"/>
        <v>3.9000000000000026</v>
      </c>
      <c r="O45" s="119">
        <f t="shared" ca="1" si="6"/>
        <v>0.19869230769230756</v>
      </c>
      <c r="P45" s="112"/>
      <c r="Q45" s="133"/>
      <c r="R45" s="133"/>
      <c r="S45" s="112"/>
      <c r="T45" s="112"/>
      <c r="U45" s="112"/>
      <c r="V45" s="112"/>
      <c r="W45" s="112"/>
      <c r="X45" s="112"/>
    </row>
    <row r="46" spans="1:24" ht="15" customHeight="1" x14ac:dyDescent="0.2">
      <c r="A46" s="7"/>
      <c r="J46" s="8"/>
      <c r="K46" s="112"/>
      <c r="L46" s="124">
        <f t="shared" ca="1" si="7"/>
        <v>3.700000000000002</v>
      </c>
      <c r="M46" s="119">
        <f t="shared" ca="1" si="4"/>
        <v>0.13962162162162156</v>
      </c>
      <c r="N46" s="124">
        <f t="shared" ca="1" si="7"/>
        <v>4.1000000000000023</v>
      </c>
      <c r="O46" s="119">
        <f t="shared" ca="1" si="6"/>
        <v>0.18899999999999992</v>
      </c>
      <c r="P46" s="112"/>
      <c r="Q46" s="133"/>
      <c r="R46" s="133"/>
      <c r="S46" s="112"/>
      <c r="T46" s="112"/>
      <c r="U46" s="112"/>
      <c r="V46" s="112"/>
      <c r="W46" s="112"/>
      <c r="X46" s="112"/>
    </row>
    <row r="47" spans="1:24" ht="15" customHeight="1" x14ac:dyDescent="0.2">
      <c r="A47" s="7"/>
      <c r="J47" s="8"/>
      <c r="K47" s="112"/>
      <c r="L47" s="124">
        <f t="shared" ca="1" si="7"/>
        <v>3.9000000000000021</v>
      </c>
      <c r="M47" s="119">
        <f t="shared" ca="1" si="4"/>
        <v>0.13246153846153841</v>
      </c>
      <c r="N47" s="124">
        <f t="shared" ca="1" si="7"/>
        <v>4.3000000000000025</v>
      </c>
      <c r="O47" s="119">
        <f t="shared" ca="1" si="6"/>
        <v>0.18020930232558133</v>
      </c>
      <c r="P47" s="112"/>
      <c r="Q47" s="133"/>
      <c r="R47" s="133"/>
      <c r="S47" s="112"/>
      <c r="T47" s="112"/>
      <c r="U47" s="112"/>
      <c r="V47" s="112"/>
      <c r="W47" s="112"/>
      <c r="X47" s="112"/>
    </row>
    <row r="48" spans="1:24" ht="15" customHeight="1" x14ac:dyDescent="0.2">
      <c r="A48" s="7"/>
      <c r="J48" s="8"/>
      <c r="K48" s="112"/>
      <c r="L48" s="124">
        <f t="shared" ca="1" si="7"/>
        <v>4.1000000000000023</v>
      </c>
      <c r="M48" s="119">
        <f t="shared" ca="1" si="4"/>
        <v>0.12599999999999995</v>
      </c>
      <c r="N48" s="124">
        <f t="shared" ca="1" si="7"/>
        <v>4.5000000000000027</v>
      </c>
      <c r="O48" s="119">
        <f t="shared" ca="1" si="6"/>
        <v>0.17219999999999991</v>
      </c>
      <c r="P48" s="112"/>
      <c r="Q48" s="133"/>
      <c r="R48" s="133"/>
      <c r="S48" s="112"/>
      <c r="T48" s="112"/>
      <c r="U48" s="112"/>
      <c r="V48" s="112"/>
      <c r="W48" s="112"/>
      <c r="X48" s="112"/>
    </row>
    <row r="49" spans="1:24" ht="15" customHeight="1" x14ac:dyDescent="0.2">
      <c r="A49" s="7"/>
      <c r="J49" s="8"/>
      <c r="K49" s="112"/>
      <c r="L49" s="124">
        <f t="shared" ca="1" si="7"/>
        <v>4.3000000000000025</v>
      </c>
      <c r="M49" s="119">
        <f t="shared" ca="1" si="4"/>
        <v>0.12013953488372088</v>
      </c>
      <c r="N49" s="124">
        <f t="shared" ca="1" si="7"/>
        <v>4.7000000000000028</v>
      </c>
      <c r="O49" s="119">
        <f t="shared" ca="1" si="6"/>
        <v>0.16487234042553184</v>
      </c>
      <c r="P49" s="112"/>
      <c r="Q49" s="133"/>
      <c r="R49" s="133"/>
      <c r="S49" s="112"/>
      <c r="T49" s="112"/>
      <c r="U49" s="112"/>
      <c r="V49" s="112"/>
      <c r="W49" s="112"/>
      <c r="X49" s="112"/>
    </row>
    <row r="50" spans="1:24" ht="15" customHeight="1" x14ac:dyDescent="0.2">
      <c r="A50" s="7"/>
      <c r="J50" s="8"/>
      <c r="K50" s="112"/>
      <c r="L50" s="124">
        <f t="shared" ca="1" si="7"/>
        <v>4.5000000000000027</v>
      </c>
      <c r="M50" s="119">
        <f t="shared" ca="1" si="4"/>
        <v>0.11479999999999994</v>
      </c>
      <c r="N50" s="124">
        <f t="shared" ca="1" si="7"/>
        <v>4.900000000000003</v>
      </c>
      <c r="O50" s="119">
        <f t="shared" ca="1" si="6"/>
        <v>0.15814285714285706</v>
      </c>
      <c r="P50" s="112"/>
      <c r="Q50" s="133"/>
      <c r="R50" s="133"/>
      <c r="S50" s="112"/>
      <c r="T50" s="112"/>
      <c r="U50" s="112"/>
      <c r="V50" s="112"/>
      <c r="W50" s="112"/>
      <c r="X50" s="112"/>
    </row>
    <row r="51" spans="1:24" ht="15" customHeight="1" x14ac:dyDescent="0.2">
      <c r="A51" s="7"/>
      <c r="J51" s="8"/>
      <c r="K51" s="112"/>
      <c r="L51" s="124">
        <f t="shared" ca="1" si="7"/>
        <v>4.7000000000000028</v>
      </c>
      <c r="M51" s="119">
        <f t="shared" ca="1" si="4"/>
        <v>0.10991489361702123</v>
      </c>
      <c r="N51" s="124">
        <f t="shared" ca="1" si="7"/>
        <v>5.1000000000000032</v>
      </c>
      <c r="O51" s="119">
        <f t="shared" ca="1" si="6"/>
        <v>0.15194117647058816</v>
      </c>
      <c r="P51" s="112"/>
      <c r="Q51" s="133"/>
      <c r="R51" s="133"/>
      <c r="S51" s="112"/>
      <c r="T51" s="112"/>
      <c r="U51" s="112"/>
      <c r="V51" s="112"/>
      <c r="W51" s="112"/>
      <c r="X51" s="112"/>
    </row>
    <row r="52" spans="1:24" ht="15" customHeight="1" x14ac:dyDescent="0.2">
      <c r="A52" s="7"/>
      <c r="J52" s="8"/>
      <c r="K52" s="112"/>
      <c r="L52" s="124">
        <f t="shared" ca="1" si="7"/>
        <v>4.900000000000003</v>
      </c>
      <c r="M52" s="119">
        <f t="shared" ca="1" si="4"/>
        <v>0.10542857142857137</v>
      </c>
      <c r="N52" s="124">
        <f t="shared" ca="1" si="7"/>
        <v>5.3000000000000034</v>
      </c>
      <c r="O52" s="119">
        <f t="shared" ca="1" si="6"/>
        <v>0.14620754716981124</v>
      </c>
      <c r="P52" s="112"/>
      <c r="Q52" s="133"/>
      <c r="R52" s="133"/>
      <c r="S52" s="112"/>
      <c r="T52" s="112"/>
      <c r="U52" s="112"/>
      <c r="V52" s="112"/>
      <c r="W52" s="112"/>
      <c r="X52" s="112"/>
    </row>
    <row r="53" spans="1:24" ht="15" customHeight="1" x14ac:dyDescent="0.2">
      <c r="A53" s="7"/>
      <c r="J53" s="8"/>
      <c r="K53" s="112"/>
      <c r="L53" s="124">
        <f t="shared" ca="1" si="7"/>
        <v>5.1000000000000032</v>
      </c>
      <c r="M53" s="119">
        <f t="shared" ca="1" si="4"/>
        <v>0.10129411764705877</v>
      </c>
      <c r="N53" s="124">
        <f t="shared" ca="1" si="7"/>
        <v>5.5000000000000036</v>
      </c>
      <c r="O53" s="119">
        <f t="shared" ca="1" si="6"/>
        <v>0.14089090909090901</v>
      </c>
      <c r="P53" s="112"/>
      <c r="Q53" s="133"/>
      <c r="R53" s="133"/>
      <c r="S53" s="112"/>
      <c r="T53" s="112"/>
      <c r="U53" s="112"/>
      <c r="V53" s="112"/>
      <c r="W53" s="112"/>
      <c r="X53" s="112"/>
    </row>
    <row r="54" spans="1:24" ht="15" customHeight="1" x14ac:dyDescent="0.2">
      <c r="A54" s="7"/>
      <c r="J54" s="8"/>
      <c r="K54" s="112"/>
      <c r="L54" s="124">
        <f t="shared" ca="1" si="7"/>
        <v>5.3000000000000034</v>
      </c>
      <c r="M54" s="119">
        <f t="shared" ca="1" si="4"/>
        <v>9.7471698113207494E-2</v>
      </c>
      <c r="N54" s="124">
        <f t="shared" ca="1" si="7"/>
        <v>5.7000000000000037</v>
      </c>
      <c r="O54" s="119">
        <f t="shared" ca="1" si="6"/>
        <v>0.13594736842105254</v>
      </c>
      <c r="P54" s="112"/>
      <c r="Q54" s="133"/>
      <c r="R54" s="133"/>
      <c r="S54" s="112"/>
      <c r="T54" s="112"/>
      <c r="U54" s="112"/>
      <c r="V54" s="112"/>
      <c r="W54" s="112"/>
      <c r="X54" s="112"/>
    </row>
    <row r="55" spans="1:24" ht="15" customHeight="1" x14ac:dyDescent="0.2">
      <c r="A55" s="7"/>
      <c r="J55" s="8"/>
      <c r="K55" s="112"/>
      <c r="L55" s="124">
        <f t="shared" ca="1" si="7"/>
        <v>5.5000000000000036</v>
      </c>
      <c r="M55" s="119">
        <f t="shared" ca="1" si="4"/>
        <v>9.3927272727272679E-2</v>
      </c>
      <c r="N55" s="124">
        <f t="shared" ca="1" si="7"/>
        <v>5.9000000000000039</v>
      </c>
      <c r="O55" s="119">
        <f t="shared" ca="1" si="6"/>
        <v>0.13133898305084737</v>
      </c>
      <c r="P55" s="112"/>
      <c r="Q55" s="133"/>
      <c r="R55" s="133"/>
      <c r="S55" s="112"/>
      <c r="T55" s="112"/>
      <c r="U55" s="112"/>
      <c r="V55" s="112"/>
      <c r="W55" s="112"/>
      <c r="X55" s="112"/>
    </row>
    <row r="56" spans="1:24" ht="15" customHeight="1" x14ac:dyDescent="0.2">
      <c r="A56" s="7"/>
      <c r="J56" s="8"/>
      <c r="K56" s="112"/>
      <c r="L56" s="124">
        <f t="shared" ca="1" si="7"/>
        <v>5.7000000000000037</v>
      </c>
      <c r="M56" s="119">
        <f t="shared" ca="1" si="4"/>
        <v>9.0631578947368369E-2</v>
      </c>
      <c r="N56" s="124">
        <f t="shared" ca="1" si="7"/>
        <v>6.1000000000000041</v>
      </c>
      <c r="O56" s="119">
        <f t="shared" ca="1" si="6"/>
        <v>0.12703278688524583</v>
      </c>
      <c r="P56" s="112"/>
      <c r="Q56" s="133"/>
      <c r="R56" s="133"/>
      <c r="S56" s="112"/>
      <c r="T56" s="112"/>
      <c r="U56" s="112"/>
      <c r="V56" s="112"/>
      <c r="W56" s="112"/>
      <c r="X56" s="112"/>
    </row>
    <row r="57" spans="1:24" ht="15" customHeight="1" x14ac:dyDescent="0.2">
      <c r="A57" s="3"/>
      <c r="B57" s="4"/>
      <c r="C57" s="4"/>
      <c r="D57" s="4"/>
      <c r="E57" s="4"/>
      <c r="F57" s="4"/>
      <c r="G57" s="4"/>
      <c r="H57" s="4"/>
      <c r="I57" s="4"/>
      <c r="J57" s="5"/>
      <c r="K57" s="112"/>
      <c r="L57" s="124">
        <f t="shared" ref="L57:N65" ca="1" si="8">L56 + 0.2</f>
        <v>5.9000000000000039</v>
      </c>
      <c r="M57" s="119">
        <f t="shared" ca="1" si="4"/>
        <v>8.7559322033898254E-2</v>
      </c>
      <c r="N57" s="124">
        <f t="shared" ca="1" si="8"/>
        <v>6.3000000000000043</v>
      </c>
      <c r="O57" s="119">
        <f t="shared" ca="1" si="6"/>
        <v>0.12299999999999991</v>
      </c>
      <c r="P57" s="112"/>
      <c r="Q57" s="133"/>
      <c r="R57" s="133"/>
      <c r="S57" s="112"/>
      <c r="T57" s="112"/>
      <c r="U57" s="112"/>
      <c r="V57" s="112"/>
      <c r="W57" s="112"/>
      <c r="X57" s="112"/>
    </row>
    <row r="58" spans="1:24" ht="15" customHeight="1" x14ac:dyDescent="0.2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24">
        <f t="shared" ca="1" si="8"/>
        <v>6.1000000000000041</v>
      </c>
      <c r="M58" s="119">
        <f t="shared" ca="1" si="4"/>
        <v>8.4688524590163891E-2</v>
      </c>
      <c r="N58" s="124">
        <f t="shared" ca="1" si="8"/>
        <v>6.5000000000000044</v>
      </c>
      <c r="O58" s="119">
        <f t="shared" ca="1" si="6"/>
        <v>0.11921538461538454</v>
      </c>
      <c r="P58" s="112"/>
      <c r="Q58" s="133"/>
      <c r="R58" s="133"/>
      <c r="S58" s="112"/>
      <c r="T58" s="112"/>
      <c r="U58" s="112"/>
      <c r="V58" s="112"/>
      <c r="W58" s="112"/>
      <c r="X58" s="112"/>
    </row>
    <row r="59" spans="1:24" ht="15" customHeight="1" x14ac:dyDescent="0.2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24">
        <f ca="1">L58 + 0.2</f>
        <v>6.3000000000000043</v>
      </c>
      <c r="M59" s="119">
        <f t="shared" ca="1" si="4"/>
        <v>8.1999999999999948E-2</v>
      </c>
      <c r="N59" s="124">
        <f ca="1">N58 + 0.2</f>
        <v>6.7000000000000046</v>
      </c>
      <c r="O59" s="119">
        <f t="shared" ca="1" si="6"/>
        <v>0.11565671641791038</v>
      </c>
      <c r="P59" s="112"/>
      <c r="Q59" s="133"/>
      <c r="R59" s="133"/>
      <c r="S59" s="112"/>
      <c r="T59" s="112"/>
      <c r="U59" s="112"/>
      <c r="V59" s="112"/>
      <c r="W59" s="112"/>
      <c r="X59" s="112"/>
    </row>
    <row r="60" spans="1:24" ht="15" customHeight="1" x14ac:dyDescent="0.2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24">
        <f t="shared" ca="1" si="8"/>
        <v>6.5000000000000044</v>
      </c>
      <c r="M60" s="119">
        <f t="shared" ca="1" si="4"/>
        <v>7.9476923076923028E-2</v>
      </c>
      <c r="N60" s="124">
        <f t="shared" ca="1" si="8"/>
        <v>6.9000000000000048</v>
      </c>
      <c r="O60" s="119">
        <f t="shared" ca="1" si="6"/>
        <v>0.11230434782608689</v>
      </c>
      <c r="P60" s="112"/>
      <c r="Q60" s="133"/>
      <c r="R60" s="133"/>
      <c r="S60" s="112"/>
      <c r="T60" s="112"/>
      <c r="U60" s="112"/>
      <c r="V60" s="112"/>
      <c r="W60" s="112"/>
      <c r="X60" s="112"/>
    </row>
    <row r="61" spans="1:24" ht="15" customHeight="1" x14ac:dyDescent="0.2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24">
        <f t="shared" ca="1" si="8"/>
        <v>6.7000000000000046</v>
      </c>
      <c r="M61" s="119">
        <f t="shared" ca="1" si="4"/>
        <v>7.7104477611940253E-2</v>
      </c>
      <c r="N61" s="124">
        <f t="shared" ca="1" si="8"/>
        <v>7.100000000000005</v>
      </c>
      <c r="O61" s="119">
        <f t="shared" ca="1" si="6"/>
        <v>0.10914084507042249</v>
      </c>
      <c r="P61" s="112"/>
      <c r="Q61" s="133"/>
      <c r="R61" s="133"/>
      <c r="S61" s="112"/>
      <c r="T61" s="112"/>
      <c r="U61" s="112"/>
      <c r="V61" s="112"/>
      <c r="W61" s="112"/>
      <c r="X61" s="112"/>
    </row>
    <row r="62" spans="1:24" ht="15" customHeight="1" x14ac:dyDescent="0.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24">
        <f t="shared" ca="1" si="8"/>
        <v>6.9000000000000048</v>
      </c>
      <c r="M62" s="119">
        <f t="shared" ca="1" si="4"/>
        <v>7.4869565217391257E-2</v>
      </c>
      <c r="N62" s="124">
        <f t="shared" ca="1" si="8"/>
        <v>7.3000000000000052</v>
      </c>
      <c r="O62" s="119">
        <f t="shared" ca="1" si="6"/>
        <v>0.10615068493150678</v>
      </c>
      <c r="P62" s="112"/>
      <c r="Q62" s="133"/>
      <c r="R62" s="133"/>
      <c r="S62" s="112"/>
      <c r="T62" s="112"/>
      <c r="U62" s="112"/>
      <c r="V62" s="112"/>
      <c r="W62" s="112"/>
      <c r="X62" s="112"/>
    </row>
    <row r="63" spans="1:24" ht="15" customHeight="1" x14ac:dyDescent="0.2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24">
        <f t="shared" ca="1" si="8"/>
        <v>7.100000000000005</v>
      </c>
      <c r="M63" s="119">
        <f t="shared" ca="1" si="4"/>
        <v>7.2760563380281654E-2</v>
      </c>
      <c r="N63" s="124">
        <f t="shared" ca="1" si="8"/>
        <v>7.5000000000000053</v>
      </c>
      <c r="O63" s="119">
        <f t="shared" ca="1" si="6"/>
        <v>0.10331999999999994</v>
      </c>
      <c r="P63" s="112"/>
      <c r="Q63" s="133"/>
      <c r="R63" s="133"/>
      <c r="S63" s="112"/>
      <c r="T63" s="112"/>
      <c r="U63" s="112"/>
      <c r="V63" s="112"/>
      <c r="W63" s="112"/>
      <c r="X63" s="112"/>
    </row>
    <row r="64" spans="1:24" ht="15" customHeight="1" x14ac:dyDescent="0.2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24">
        <f t="shared" ca="1" si="8"/>
        <v>7.3000000000000052</v>
      </c>
      <c r="M64" s="119">
        <f t="shared" ca="1" si="4"/>
        <v>7.0767123287671194E-2</v>
      </c>
      <c r="N64" s="124">
        <f t="shared" ca="1" si="8"/>
        <v>7.7000000000000055</v>
      </c>
      <c r="O64" s="119">
        <f t="shared" ca="1" si="6"/>
        <v>0.10063636363636358</v>
      </c>
      <c r="P64" s="112"/>
      <c r="Q64" s="133"/>
      <c r="R64" s="133"/>
      <c r="S64" s="112"/>
      <c r="T64" s="112"/>
      <c r="U64" s="112"/>
      <c r="V64" s="112"/>
      <c r="W64" s="112"/>
      <c r="X64" s="112"/>
    </row>
    <row r="65" spans="1:24" ht="15" customHeight="1" x14ac:dyDescent="0.2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24">
        <f t="shared" ca="1" si="8"/>
        <v>7.5000000000000053</v>
      </c>
      <c r="M65" s="119">
        <f t="shared" ca="1" si="4"/>
        <v>6.8879999999999955E-2</v>
      </c>
      <c r="N65" s="124">
        <f t="shared" ca="1" si="8"/>
        <v>7.9000000000000057</v>
      </c>
      <c r="O65" s="119">
        <f t="shared" ca="1" si="6"/>
        <v>9.808860759493665E-2</v>
      </c>
      <c r="P65" s="112"/>
      <c r="Q65" s="133"/>
      <c r="R65" s="133"/>
      <c r="S65" s="112"/>
      <c r="T65" s="112"/>
      <c r="U65" s="112"/>
      <c r="V65" s="112"/>
      <c r="W65" s="112"/>
      <c r="X65" s="112"/>
    </row>
    <row r="66" spans="1:24" ht="15" customHeight="1" x14ac:dyDescent="0.2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24">
        <f ca="1">L65 + 0.2</f>
        <v>7.7000000000000055</v>
      </c>
      <c r="M66" s="119">
        <f t="shared" ca="1" si="4"/>
        <v>6.7090909090909048E-2</v>
      </c>
      <c r="N66" s="124">
        <f ca="1">N65 + 0.2</f>
        <v>8.100000000000005</v>
      </c>
      <c r="O66" s="119">
        <f t="shared" ca="1" si="6"/>
        <v>9.5666666666666622E-2</v>
      </c>
      <c r="P66" s="112"/>
      <c r="Q66" s="133"/>
      <c r="R66" s="133"/>
      <c r="S66" s="112"/>
      <c r="T66" s="112"/>
      <c r="U66" s="112"/>
      <c r="V66" s="112"/>
      <c r="W66" s="112"/>
      <c r="X66" s="112"/>
    </row>
    <row r="67" spans="1:24" ht="15" customHeight="1" x14ac:dyDescent="0.2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24">
        <f ca="1">L66 + 0.2</f>
        <v>7.9000000000000057</v>
      </c>
      <c r="M67" s="119">
        <f t="shared" ca="1" si="4"/>
        <v>6.5392405063291095E-2</v>
      </c>
      <c r="N67" s="124">
        <f ca="1">N66 + 0.2</f>
        <v>8.3000000000000043</v>
      </c>
      <c r="O67" s="119">
        <f t="shared" ca="1" si="6"/>
        <v>9.3361445783132491E-2</v>
      </c>
      <c r="P67" s="112"/>
      <c r="Q67" s="133"/>
      <c r="R67" s="133"/>
      <c r="S67" s="112"/>
      <c r="T67" s="112"/>
      <c r="U67" s="112"/>
      <c r="V67" s="112"/>
      <c r="W67" s="112"/>
      <c r="X67" s="112"/>
    </row>
    <row r="68" spans="1:24" ht="15" customHeight="1" x14ac:dyDescent="0.2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24">
        <f ca="1">L67 + 0.2</f>
        <v>8.100000000000005</v>
      </c>
      <c r="M68" s="119">
        <f t="shared" ca="1" si="4"/>
        <v>6.3777777777777753E-2</v>
      </c>
      <c r="N68" s="124">
        <f ca="1">N67 + 0.2</f>
        <v>8.5000000000000036</v>
      </c>
      <c r="O68" s="119">
        <f t="shared" ca="1" si="6"/>
        <v>9.1164705882352925E-2</v>
      </c>
      <c r="P68" s="112"/>
      <c r="Q68" s="133"/>
      <c r="R68" s="133"/>
      <c r="S68" s="112"/>
      <c r="T68" s="112"/>
      <c r="U68" s="112"/>
      <c r="V68" s="112"/>
      <c r="W68" s="112"/>
      <c r="X68" s="112"/>
    </row>
    <row r="69" spans="1:24" ht="15" customHeight="1" x14ac:dyDescent="0.2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26">
        <f ca="1">L68 + 0.2</f>
        <v>8.3000000000000043</v>
      </c>
      <c r="M69" s="134">
        <f t="shared" ca="1" si="4"/>
        <v>6.224096385542166E-2</v>
      </c>
      <c r="N69" s="126">
        <f ca="1">N68 + 0.2</f>
        <v>8.7000000000000028</v>
      </c>
      <c r="O69" s="134">
        <f t="shared" ca="1" si="6"/>
        <v>8.9068965517241361E-2</v>
      </c>
      <c r="P69" s="112"/>
      <c r="Q69" s="133"/>
      <c r="R69" s="133"/>
      <c r="S69" s="112"/>
      <c r="T69" s="112"/>
      <c r="U69" s="112"/>
      <c r="V69" s="112"/>
      <c r="W69" s="112"/>
      <c r="X69" s="112"/>
    </row>
    <row r="70" spans="1:24" ht="15" customHeight="1" x14ac:dyDescent="0.2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33"/>
      <c r="R70" s="133"/>
      <c r="S70" s="112"/>
      <c r="T70" s="112"/>
      <c r="U70" s="112"/>
      <c r="V70" s="112"/>
      <c r="W70" s="112"/>
      <c r="X70" s="112"/>
    </row>
    <row r="71" spans="1:24" ht="15" customHeight="1" x14ac:dyDescent="0.2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</row>
    <row r="72" spans="1:24" ht="15" customHeight="1" x14ac:dyDescent="0.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</row>
    <row r="73" spans="1:24" ht="15" customHeight="1" x14ac:dyDescent="0.2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</row>
    <row r="74" spans="1:24" ht="15" customHeight="1" x14ac:dyDescent="0.2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</row>
    <row r="75" spans="1:24" s="112" customFormat="1" ht="15" customHeight="1" x14ac:dyDescent="0.2"/>
    <row r="76" spans="1:24" s="112" customFormat="1" x14ac:dyDescent="0.2"/>
    <row r="77" spans="1:24" s="112" customFormat="1" x14ac:dyDescent="0.2"/>
    <row r="78" spans="1:24" s="112" customFormat="1" x14ac:dyDescent="0.2"/>
    <row r="79" spans="1:24" s="112" customFormat="1" x14ac:dyDescent="0.2"/>
    <row r="80" spans="1:24" s="112" customFormat="1" x14ac:dyDescent="0.2"/>
    <row r="81" s="112" customFormat="1" x14ac:dyDescent="0.2"/>
    <row r="82" s="112" customFormat="1" x14ac:dyDescent="0.2"/>
    <row r="83" s="112" customFormat="1" x14ac:dyDescent="0.2"/>
    <row r="84" s="112" customFormat="1" x14ac:dyDescent="0.2"/>
    <row r="85" s="112" customFormat="1" x14ac:dyDescent="0.2"/>
    <row r="86" s="112" customFormat="1" x14ac:dyDescent="0.2"/>
    <row r="87" s="112" customFormat="1" x14ac:dyDescent="0.2"/>
    <row r="88" s="112" customFormat="1" x14ac:dyDescent="0.2"/>
    <row r="89" s="112" customFormat="1" x14ac:dyDescent="0.2"/>
    <row r="90" s="112" customFormat="1" x14ac:dyDescent="0.2"/>
    <row r="91" s="112" customFormat="1" x14ac:dyDescent="0.2"/>
    <row r="92" s="112" customFormat="1" x14ac:dyDescent="0.2"/>
    <row r="93" s="112" customFormat="1" x14ac:dyDescent="0.2"/>
    <row r="94" s="112" customFormat="1" x14ac:dyDescent="0.2"/>
    <row r="95" s="112" customFormat="1" x14ac:dyDescent="0.2"/>
    <row r="96" s="112" customFormat="1" x14ac:dyDescent="0.2"/>
    <row r="97" s="112" customFormat="1" x14ac:dyDescent="0.2"/>
    <row r="98" s="112" customFormat="1" x14ac:dyDescent="0.2"/>
    <row r="99" s="112" customFormat="1" x14ac:dyDescent="0.2"/>
    <row r="100" s="112" customFormat="1" x14ac:dyDescent="0.2"/>
    <row r="101" s="112" customFormat="1" x14ac:dyDescent="0.2"/>
    <row r="102" s="112" customFormat="1" x14ac:dyDescent="0.2"/>
    <row r="103" s="112" customFormat="1" x14ac:dyDescent="0.2"/>
    <row r="104" s="112" customFormat="1" x14ac:dyDescent="0.2"/>
    <row r="105" s="112" customFormat="1" x14ac:dyDescent="0.2"/>
    <row r="106" s="112" customFormat="1" x14ac:dyDescent="0.2"/>
    <row r="107" s="112" customFormat="1" x14ac:dyDescent="0.2"/>
    <row r="108" s="112" customFormat="1" x14ac:dyDescent="0.2"/>
    <row r="109" s="112" customFormat="1" x14ac:dyDescent="0.2"/>
    <row r="110" s="112" customFormat="1" x14ac:dyDescent="0.2"/>
    <row r="111" s="112" customFormat="1" x14ac:dyDescent="0.2"/>
    <row r="112" s="112" customFormat="1" x14ac:dyDescent="0.2"/>
    <row r="113" s="112" customFormat="1" x14ac:dyDescent="0.2"/>
    <row r="114" s="112" customFormat="1" x14ac:dyDescent="0.2"/>
    <row r="115" s="112" customFormat="1" x14ac:dyDescent="0.2"/>
    <row r="116" s="112" customFormat="1" x14ac:dyDescent="0.2"/>
    <row r="117" s="112" customFormat="1" x14ac:dyDescent="0.2"/>
    <row r="118" s="112" customFormat="1" x14ac:dyDescent="0.2"/>
    <row r="119" s="112" customFormat="1" x14ac:dyDescent="0.2"/>
    <row r="120" s="112" customFormat="1" x14ac:dyDescent="0.2"/>
    <row r="121" s="112" customFormat="1" x14ac:dyDescent="0.2"/>
    <row r="122" s="112" customFormat="1" x14ac:dyDescent="0.2"/>
    <row r="123" s="112" customFormat="1" x14ac:dyDescent="0.2"/>
    <row r="124" s="112" customFormat="1" x14ac:dyDescent="0.2"/>
    <row r="125" s="112" customFormat="1" x14ac:dyDescent="0.2"/>
    <row r="126" s="112" customFormat="1" x14ac:dyDescent="0.2"/>
    <row r="127" s="112" customFormat="1" x14ac:dyDescent="0.2"/>
    <row r="128" s="112" customFormat="1" x14ac:dyDescent="0.2"/>
    <row r="129" s="112" customFormat="1" x14ac:dyDescent="0.2"/>
    <row r="130" s="112" customFormat="1" x14ac:dyDescent="0.2"/>
    <row r="131" s="112" customFormat="1" x14ac:dyDescent="0.2"/>
    <row r="132" s="112" customFormat="1" x14ac:dyDescent="0.2"/>
    <row r="133" s="112" customFormat="1" x14ac:dyDescent="0.2"/>
    <row r="134" s="112" customFormat="1" x14ac:dyDescent="0.2"/>
    <row r="135" s="112" customFormat="1" x14ac:dyDescent="0.2"/>
    <row r="136" s="112" customFormat="1" x14ac:dyDescent="0.2"/>
    <row r="137" s="112" customFormat="1" x14ac:dyDescent="0.2"/>
    <row r="138" s="112" customFormat="1" x14ac:dyDescent="0.2"/>
    <row r="139" s="112" customFormat="1" x14ac:dyDescent="0.2"/>
    <row r="140" s="112" customFormat="1" x14ac:dyDescent="0.2"/>
    <row r="141" s="112" customFormat="1" x14ac:dyDescent="0.2"/>
    <row r="142" s="112" customFormat="1" x14ac:dyDescent="0.2"/>
    <row r="143" s="112" customFormat="1" x14ac:dyDescent="0.2"/>
    <row r="144" s="112" customFormat="1" x14ac:dyDescent="0.2"/>
    <row r="145" s="112" customFormat="1" x14ac:dyDescent="0.2"/>
    <row r="146" s="112" customFormat="1" x14ac:dyDescent="0.2"/>
    <row r="147" s="112" customFormat="1" x14ac:dyDescent="0.2"/>
    <row r="148" s="112" customFormat="1" x14ac:dyDescent="0.2"/>
    <row r="149" s="112" customFormat="1" x14ac:dyDescent="0.2"/>
    <row r="150" s="112" customFormat="1" x14ac:dyDescent="0.2"/>
    <row r="151" s="112" customFormat="1" x14ac:dyDescent="0.2"/>
    <row r="152" s="112" customFormat="1" x14ac:dyDescent="0.2"/>
    <row r="153" s="112" customFormat="1" x14ac:dyDescent="0.2"/>
    <row r="154" s="112" customFormat="1" x14ac:dyDescent="0.2"/>
    <row r="155" s="112" customFormat="1" x14ac:dyDescent="0.2"/>
    <row r="156" s="112" customFormat="1" x14ac:dyDescent="0.2"/>
    <row r="157" s="112" customFormat="1" x14ac:dyDescent="0.2"/>
    <row r="158" s="112" customFormat="1" x14ac:dyDescent="0.2"/>
    <row r="159" s="112" customFormat="1" x14ac:dyDescent="0.2"/>
    <row r="160" s="112" customFormat="1" x14ac:dyDescent="0.2"/>
    <row r="161" s="112" customFormat="1" x14ac:dyDescent="0.2"/>
    <row r="162" s="112" customFormat="1" x14ac:dyDescent="0.2"/>
    <row r="163" s="112" customFormat="1" x14ac:dyDescent="0.2"/>
    <row r="164" s="112" customFormat="1" x14ac:dyDescent="0.2"/>
    <row r="165" s="112" customFormat="1" x14ac:dyDescent="0.2"/>
    <row r="166" s="112" customFormat="1" x14ac:dyDescent="0.2"/>
    <row r="167" s="112" customFormat="1" x14ac:dyDescent="0.2"/>
    <row r="168" s="112" customFormat="1" x14ac:dyDescent="0.2"/>
    <row r="169" s="112" customFormat="1" x14ac:dyDescent="0.2"/>
    <row r="170" s="112" customFormat="1" x14ac:dyDescent="0.2"/>
    <row r="171" s="112" customFormat="1" x14ac:dyDescent="0.2"/>
    <row r="172" s="112" customFormat="1" x14ac:dyDescent="0.2"/>
    <row r="173" s="112" customFormat="1" x14ac:dyDescent="0.2"/>
    <row r="174" s="112" customFormat="1" x14ac:dyDescent="0.2"/>
    <row r="175" s="112" customFormat="1" x14ac:dyDescent="0.2"/>
    <row r="176" s="112" customFormat="1" x14ac:dyDescent="0.2"/>
    <row r="177" s="112" customFormat="1" x14ac:dyDescent="0.2"/>
    <row r="178" s="112" customFormat="1" x14ac:dyDescent="0.2"/>
    <row r="179" s="112" customFormat="1" x14ac:dyDescent="0.2"/>
    <row r="180" s="112" customFormat="1" x14ac:dyDescent="0.2"/>
    <row r="181" s="112" customFormat="1" x14ac:dyDescent="0.2"/>
    <row r="182" s="112" customFormat="1" x14ac:dyDescent="0.2"/>
    <row r="183" s="112" customFormat="1" x14ac:dyDescent="0.2"/>
    <row r="184" s="112" customFormat="1" x14ac:dyDescent="0.2"/>
    <row r="185" s="112" customFormat="1" x14ac:dyDescent="0.2"/>
    <row r="186" s="112" customFormat="1" x14ac:dyDescent="0.2"/>
    <row r="187" s="112" customFormat="1" x14ac:dyDescent="0.2"/>
    <row r="188" s="112" customFormat="1" x14ac:dyDescent="0.2"/>
    <row r="189" s="112" customFormat="1" x14ac:dyDescent="0.2"/>
    <row r="190" s="112" customFormat="1" x14ac:dyDescent="0.2"/>
    <row r="191" s="112" customFormat="1" x14ac:dyDescent="0.2"/>
    <row r="192" s="112" customFormat="1" x14ac:dyDescent="0.2"/>
    <row r="193" s="112" customFormat="1" x14ac:dyDescent="0.2"/>
    <row r="194" s="112" customFormat="1" x14ac:dyDescent="0.2"/>
    <row r="195" s="112" customFormat="1" x14ac:dyDescent="0.2"/>
    <row r="196" s="112" customFormat="1" x14ac:dyDescent="0.2"/>
    <row r="197" s="112" customFormat="1" x14ac:dyDescent="0.2"/>
    <row r="198" s="112" customFormat="1" x14ac:dyDescent="0.2"/>
    <row r="199" s="112" customFormat="1" x14ac:dyDescent="0.2"/>
    <row r="200" s="112" customFormat="1" x14ac:dyDescent="0.2"/>
    <row r="201" s="112" customFormat="1" x14ac:dyDescent="0.2"/>
    <row r="202" s="112" customFormat="1" x14ac:dyDescent="0.2"/>
    <row r="203" s="112" customFormat="1" x14ac:dyDescent="0.2"/>
    <row r="204" s="112" customFormat="1" x14ac:dyDescent="0.2"/>
    <row r="205" s="112" customFormat="1" x14ac:dyDescent="0.2"/>
    <row r="206" s="112" customFormat="1" x14ac:dyDescent="0.2"/>
    <row r="207" s="112" customFormat="1" x14ac:dyDescent="0.2"/>
    <row r="208" s="112" customFormat="1" x14ac:dyDescent="0.2"/>
    <row r="209" s="112" customFormat="1" x14ac:dyDescent="0.2"/>
    <row r="210" s="112" customFormat="1" x14ac:dyDescent="0.2"/>
    <row r="211" s="112" customFormat="1" x14ac:dyDescent="0.2"/>
    <row r="212" s="112" customFormat="1" x14ac:dyDescent="0.2"/>
    <row r="213" s="112" customFormat="1" x14ac:dyDescent="0.2"/>
    <row r="214" s="112" customFormat="1" x14ac:dyDescent="0.2"/>
    <row r="215" s="112" customFormat="1" x14ac:dyDescent="0.2"/>
    <row r="216" s="112" customFormat="1" x14ac:dyDescent="0.2"/>
    <row r="217" s="112" customFormat="1" x14ac:dyDescent="0.2"/>
    <row r="218" s="112" customFormat="1" x14ac:dyDescent="0.2"/>
    <row r="219" s="112" customFormat="1" x14ac:dyDescent="0.2"/>
    <row r="220" s="112" customFormat="1" x14ac:dyDescent="0.2"/>
    <row r="221" s="112" customFormat="1" x14ac:dyDescent="0.2"/>
    <row r="222" s="112" customFormat="1" x14ac:dyDescent="0.2"/>
    <row r="223" s="112" customFormat="1" x14ac:dyDescent="0.2"/>
    <row r="224" s="112" customFormat="1" x14ac:dyDescent="0.2"/>
    <row r="225" s="112" customFormat="1" x14ac:dyDescent="0.2"/>
    <row r="226" s="112" customFormat="1" x14ac:dyDescent="0.2"/>
    <row r="227" s="112" customFormat="1" x14ac:dyDescent="0.2"/>
    <row r="228" s="112" customFormat="1" x14ac:dyDescent="0.2"/>
    <row r="229" s="112" customFormat="1" x14ac:dyDescent="0.2"/>
    <row r="230" s="112" customFormat="1" x14ac:dyDescent="0.2"/>
    <row r="231" s="112" customFormat="1" x14ac:dyDescent="0.2"/>
    <row r="232" s="112" customFormat="1" x14ac:dyDescent="0.2"/>
    <row r="233" s="112" customFormat="1" x14ac:dyDescent="0.2"/>
    <row r="234" s="112" customFormat="1" x14ac:dyDescent="0.2"/>
    <row r="235" s="112" customFormat="1" x14ac:dyDescent="0.2"/>
    <row r="236" s="112" customFormat="1" x14ac:dyDescent="0.2"/>
    <row r="237" s="112" customFormat="1" x14ac:dyDescent="0.2"/>
    <row r="238" s="112" customFormat="1" x14ac:dyDescent="0.2"/>
    <row r="239" s="112" customFormat="1" x14ac:dyDescent="0.2"/>
    <row r="240" s="112" customFormat="1" x14ac:dyDescent="0.2"/>
    <row r="241" s="112" customFormat="1" x14ac:dyDescent="0.2"/>
    <row r="242" s="112" customFormat="1" x14ac:dyDescent="0.2"/>
    <row r="243" s="112" customFormat="1" x14ac:dyDescent="0.2"/>
    <row r="244" s="112" customFormat="1" x14ac:dyDescent="0.2"/>
    <row r="245" s="112" customFormat="1" x14ac:dyDescent="0.2"/>
    <row r="246" s="112" customFormat="1" x14ac:dyDescent="0.2"/>
    <row r="247" s="112" customFormat="1" x14ac:dyDescent="0.2"/>
    <row r="248" s="112" customFormat="1" x14ac:dyDescent="0.2"/>
    <row r="249" s="112" customFormat="1" x14ac:dyDescent="0.2"/>
    <row r="250" s="112" customFormat="1" x14ac:dyDescent="0.2"/>
    <row r="251" s="112" customFormat="1" x14ac:dyDescent="0.2"/>
    <row r="252" s="112" customFormat="1" x14ac:dyDescent="0.2"/>
    <row r="253" s="112" customFormat="1" x14ac:dyDescent="0.2"/>
    <row r="254" s="112" customFormat="1" x14ac:dyDescent="0.2"/>
    <row r="255" s="112" customFormat="1" x14ac:dyDescent="0.2"/>
    <row r="256" s="112" customFormat="1" x14ac:dyDescent="0.2"/>
    <row r="257" s="112" customFormat="1" x14ac:dyDescent="0.2"/>
    <row r="258" s="112" customFormat="1" x14ac:dyDescent="0.2"/>
    <row r="259" s="112" customFormat="1" x14ac:dyDescent="0.2"/>
    <row r="260" s="112" customFormat="1" x14ac:dyDescent="0.2"/>
    <row r="261" s="112" customFormat="1" x14ac:dyDescent="0.2"/>
    <row r="262" s="112" customFormat="1" x14ac:dyDescent="0.2"/>
    <row r="263" s="112" customFormat="1" x14ac:dyDescent="0.2"/>
    <row r="264" s="112" customFormat="1" x14ac:dyDescent="0.2"/>
    <row r="265" s="112" customFormat="1" x14ac:dyDescent="0.2"/>
    <row r="266" s="112" customFormat="1" x14ac:dyDescent="0.2"/>
    <row r="267" s="112" customFormat="1" x14ac:dyDescent="0.2"/>
    <row r="268" s="112" customFormat="1" x14ac:dyDescent="0.2"/>
    <row r="269" s="112" customFormat="1" x14ac:dyDescent="0.2"/>
    <row r="270" s="112" customFormat="1" x14ac:dyDescent="0.2"/>
    <row r="271" s="112" customFormat="1" x14ac:dyDescent="0.2"/>
    <row r="272" s="112" customFormat="1" x14ac:dyDescent="0.2"/>
    <row r="273" s="112" customFormat="1" x14ac:dyDescent="0.2"/>
    <row r="274" s="112" customFormat="1" x14ac:dyDescent="0.2"/>
    <row r="275" s="112" customFormat="1" x14ac:dyDescent="0.2"/>
    <row r="276" s="112" customFormat="1" x14ac:dyDescent="0.2"/>
    <row r="277" s="112" customFormat="1" x14ac:dyDescent="0.2"/>
    <row r="278" s="112" customFormat="1" x14ac:dyDescent="0.2"/>
    <row r="279" s="112" customFormat="1" x14ac:dyDescent="0.2"/>
    <row r="280" s="112" customFormat="1" x14ac:dyDescent="0.2"/>
    <row r="281" s="112" customFormat="1" x14ac:dyDescent="0.2"/>
    <row r="282" s="112" customFormat="1" x14ac:dyDescent="0.2"/>
    <row r="283" s="112" customFormat="1" x14ac:dyDescent="0.2"/>
    <row r="284" s="112" customFormat="1" x14ac:dyDescent="0.2"/>
    <row r="285" s="112" customFormat="1" x14ac:dyDescent="0.2"/>
    <row r="286" s="112" customFormat="1" x14ac:dyDescent="0.2"/>
    <row r="287" s="112" customFormat="1" x14ac:dyDescent="0.2"/>
    <row r="288" s="112" customFormat="1" x14ac:dyDescent="0.2"/>
    <row r="289" s="112" customFormat="1" x14ac:dyDescent="0.2"/>
    <row r="290" s="112" customFormat="1" x14ac:dyDescent="0.2"/>
    <row r="291" s="112" customFormat="1" x14ac:dyDescent="0.2"/>
    <row r="292" s="112" customFormat="1" x14ac:dyDescent="0.2"/>
    <row r="293" s="112" customFormat="1" x14ac:dyDescent="0.2"/>
    <row r="294" s="112" customFormat="1" x14ac:dyDescent="0.2"/>
    <row r="295" s="112" customFormat="1" x14ac:dyDescent="0.2"/>
    <row r="296" s="112" customFormat="1" x14ac:dyDescent="0.2"/>
    <row r="297" s="112" customFormat="1" x14ac:dyDescent="0.2"/>
    <row r="298" s="112" customFormat="1" x14ac:dyDescent="0.2"/>
    <row r="299" s="112" customFormat="1" x14ac:dyDescent="0.2"/>
    <row r="300" s="112" customFormat="1" x14ac:dyDescent="0.2"/>
    <row r="301" s="112" customFormat="1" x14ac:dyDescent="0.2"/>
    <row r="302" s="112" customFormat="1" x14ac:dyDescent="0.2"/>
    <row r="303" s="112" customFormat="1" x14ac:dyDescent="0.2"/>
    <row r="304" s="112" customFormat="1" x14ac:dyDescent="0.2"/>
    <row r="305" s="112" customFormat="1" x14ac:dyDescent="0.2"/>
    <row r="306" s="112" customFormat="1" x14ac:dyDescent="0.2"/>
    <row r="307" s="112" customFormat="1" x14ac:dyDescent="0.2"/>
    <row r="308" s="112" customFormat="1" x14ac:dyDescent="0.2"/>
    <row r="309" s="112" customFormat="1" x14ac:dyDescent="0.2"/>
    <row r="310" s="112" customFormat="1" x14ac:dyDescent="0.2"/>
    <row r="311" s="112" customFormat="1" x14ac:dyDescent="0.2"/>
    <row r="312" s="112" customFormat="1" x14ac:dyDescent="0.2"/>
    <row r="313" s="112" customFormat="1" x14ac:dyDescent="0.2"/>
    <row r="314" s="112" customFormat="1" x14ac:dyDescent="0.2"/>
    <row r="315" s="112" customFormat="1" x14ac:dyDescent="0.2"/>
    <row r="316" s="112" customFormat="1" x14ac:dyDescent="0.2"/>
    <row r="317" s="112" customFormat="1" x14ac:dyDescent="0.2"/>
    <row r="318" s="112" customFormat="1" x14ac:dyDescent="0.2"/>
    <row r="319" s="112" customFormat="1" x14ac:dyDescent="0.2"/>
    <row r="320" s="112" customFormat="1" x14ac:dyDescent="0.2"/>
    <row r="321" s="112" customFormat="1" x14ac:dyDescent="0.2"/>
    <row r="322" s="112" customFormat="1" x14ac:dyDescent="0.2"/>
    <row r="323" s="112" customFormat="1" x14ac:dyDescent="0.2"/>
    <row r="324" s="112" customFormat="1" x14ac:dyDescent="0.2"/>
    <row r="325" s="112" customFormat="1" x14ac:dyDescent="0.2"/>
    <row r="326" s="112" customFormat="1" x14ac:dyDescent="0.2"/>
    <row r="327" s="112" customFormat="1" x14ac:dyDescent="0.2"/>
    <row r="328" s="112" customFormat="1" x14ac:dyDescent="0.2"/>
    <row r="329" s="112" customFormat="1" x14ac:dyDescent="0.2"/>
    <row r="330" s="112" customFormat="1" x14ac:dyDescent="0.2"/>
    <row r="331" s="112" customFormat="1" x14ac:dyDescent="0.2"/>
    <row r="332" s="112" customFormat="1" x14ac:dyDescent="0.2"/>
    <row r="333" s="112" customFormat="1" x14ac:dyDescent="0.2"/>
    <row r="334" s="112" customFormat="1" x14ac:dyDescent="0.2"/>
    <row r="335" s="112" customFormat="1" x14ac:dyDescent="0.2"/>
    <row r="336" s="112" customFormat="1" x14ac:dyDescent="0.2"/>
    <row r="337" s="112" customFormat="1" x14ac:dyDescent="0.2"/>
    <row r="338" s="112" customFormat="1" x14ac:dyDescent="0.2"/>
    <row r="339" s="112" customFormat="1" x14ac:dyDescent="0.2"/>
    <row r="340" s="112" customFormat="1" x14ac:dyDescent="0.2"/>
    <row r="341" s="112" customFormat="1" x14ac:dyDescent="0.2"/>
    <row r="342" s="112" customFormat="1" x14ac:dyDescent="0.2"/>
    <row r="343" s="112" customFormat="1" x14ac:dyDescent="0.2"/>
    <row r="344" s="112" customFormat="1" x14ac:dyDescent="0.2"/>
    <row r="345" s="112" customFormat="1" x14ac:dyDescent="0.2"/>
    <row r="346" s="112" customFormat="1" x14ac:dyDescent="0.2"/>
    <row r="347" s="112" customFormat="1" x14ac:dyDescent="0.2"/>
    <row r="348" s="112" customFormat="1" x14ac:dyDescent="0.2"/>
    <row r="349" s="112" customFormat="1" x14ac:dyDescent="0.2"/>
    <row r="350" s="112" customFormat="1" x14ac:dyDescent="0.2"/>
    <row r="351" s="112" customFormat="1" x14ac:dyDescent="0.2"/>
    <row r="352" s="112" customFormat="1" x14ac:dyDescent="0.2"/>
    <row r="353" s="112" customFormat="1" x14ac:dyDescent="0.2"/>
    <row r="354" s="112" customFormat="1" x14ac:dyDescent="0.2"/>
    <row r="355" s="112" customFormat="1" x14ac:dyDescent="0.2"/>
    <row r="356" s="112" customFormat="1" x14ac:dyDescent="0.2"/>
    <row r="357" s="112" customFormat="1" x14ac:dyDescent="0.2"/>
    <row r="358" s="112" customFormat="1" x14ac:dyDescent="0.2"/>
    <row r="359" s="112" customFormat="1" x14ac:dyDescent="0.2"/>
    <row r="360" s="112" customFormat="1" x14ac:dyDescent="0.2"/>
    <row r="361" s="112" customFormat="1" x14ac:dyDescent="0.2"/>
    <row r="362" s="112" customFormat="1" x14ac:dyDescent="0.2"/>
    <row r="363" s="112" customFormat="1" x14ac:dyDescent="0.2"/>
    <row r="364" s="112" customFormat="1" x14ac:dyDescent="0.2"/>
    <row r="365" s="112" customFormat="1" x14ac:dyDescent="0.2"/>
    <row r="366" s="112" customFormat="1" x14ac:dyDescent="0.2"/>
    <row r="367" s="112" customFormat="1" x14ac:dyDescent="0.2"/>
    <row r="368" s="112" customFormat="1" x14ac:dyDescent="0.2"/>
    <row r="369" s="112" customFormat="1" x14ac:dyDescent="0.2"/>
    <row r="370" s="112" customFormat="1" x14ac:dyDescent="0.2"/>
    <row r="371" s="112" customFormat="1" x14ac:dyDescent="0.2"/>
    <row r="372" s="112" customFormat="1" x14ac:dyDescent="0.2"/>
    <row r="373" s="112" customFormat="1" x14ac:dyDescent="0.2"/>
    <row r="374" s="112" customFormat="1" x14ac:dyDescent="0.2"/>
    <row r="375" s="112" customFormat="1" x14ac:dyDescent="0.2"/>
    <row r="376" s="112" customFormat="1" x14ac:dyDescent="0.2"/>
    <row r="377" s="112" customFormat="1" x14ac:dyDescent="0.2"/>
    <row r="378" s="112" customFormat="1" x14ac:dyDescent="0.2"/>
    <row r="379" s="112" customFormat="1" x14ac:dyDescent="0.2"/>
    <row r="380" s="112" customFormat="1" x14ac:dyDescent="0.2"/>
    <row r="381" s="112" customFormat="1" x14ac:dyDescent="0.2"/>
    <row r="382" s="112" customFormat="1" x14ac:dyDescent="0.2"/>
    <row r="383" s="112" customFormat="1" x14ac:dyDescent="0.2"/>
    <row r="384" s="112" customFormat="1" x14ac:dyDescent="0.2"/>
    <row r="385" s="112" customFormat="1" x14ac:dyDescent="0.2"/>
    <row r="386" s="112" customFormat="1" x14ac:dyDescent="0.2"/>
    <row r="387" s="112" customFormat="1" x14ac:dyDescent="0.2"/>
    <row r="388" s="112" customFormat="1" x14ac:dyDescent="0.2"/>
    <row r="389" s="112" customFormat="1" x14ac:dyDescent="0.2"/>
    <row r="390" s="112" customFormat="1" x14ac:dyDescent="0.2"/>
    <row r="391" s="112" customFormat="1" x14ac:dyDescent="0.2"/>
    <row r="392" s="112" customFormat="1" x14ac:dyDescent="0.2"/>
    <row r="393" s="112" customFormat="1" x14ac:dyDescent="0.2"/>
    <row r="394" s="112" customFormat="1" x14ac:dyDescent="0.2"/>
    <row r="395" s="112" customFormat="1" x14ac:dyDescent="0.2"/>
    <row r="396" s="112" customFormat="1" x14ac:dyDescent="0.2"/>
    <row r="397" s="112" customFormat="1" x14ac:dyDescent="0.2"/>
    <row r="398" s="112" customFormat="1" x14ac:dyDescent="0.2"/>
    <row r="399" s="112" customFormat="1" x14ac:dyDescent="0.2"/>
    <row r="400" s="112" customFormat="1" x14ac:dyDescent="0.2"/>
    <row r="401" s="112" customFormat="1" x14ac:dyDescent="0.2"/>
    <row r="402" s="112" customFormat="1" x14ac:dyDescent="0.2"/>
    <row r="403" s="112" customFormat="1" x14ac:dyDescent="0.2"/>
    <row r="404" s="112" customFormat="1" x14ac:dyDescent="0.2"/>
    <row r="405" s="112" customFormat="1" x14ac:dyDescent="0.2"/>
    <row r="406" s="112" customFormat="1" x14ac:dyDescent="0.2"/>
    <row r="407" s="112" customFormat="1" x14ac:dyDescent="0.2"/>
    <row r="408" s="112" customFormat="1" x14ac:dyDescent="0.2"/>
    <row r="409" s="112" customFormat="1" x14ac:dyDescent="0.2"/>
    <row r="410" s="112" customFormat="1" x14ac:dyDescent="0.2"/>
    <row r="411" s="112" customFormat="1" x14ac:dyDescent="0.2"/>
    <row r="412" s="112" customFormat="1" x14ac:dyDescent="0.2"/>
    <row r="413" s="112" customFormat="1" x14ac:dyDescent="0.2"/>
    <row r="414" s="112" customFormat="1" x14ac:dyDescent="0.2"/>
    <row r="415" s="112" customFormat="1" x14ac:dyDescent="0.2"/>
    <row r="416" s="112" customFormat="1" x14ac:dyDescent="0.2"/>
    <row r="417" s="112" customFormat="1" x14ac:dyDescent="0.2"/>
    <row r="418" s="112" customFormat="1" x14ac:dyDescent="0.2"/>
    <row r="419" s="112" customFormat="1" x14ac:dyDescent="0.2"/>
    <row r="420" s="112" customFormat="1" x14ac:dyDescent="0.2"/>
    <row r="421" s="112" customFormat="1" x14ac:dyDescent="0.2"/>
    <row r="422" s="112" customFormat="1" x14ac:dyDescent="0.2"/>
    <row r="423" s="112" customFormat="1" x14ac:dyDescent="0.2"/>
    <row r="424" s="112" customFormat="1" x14ac:dyDescent="0.2"/>
    <row r="425" s="112" customFormat="1" x14ac:dyDescent="0.2"/>
    <row r="426" s="112" customFormat="1" x14ac:dyDescent="0.2"/>
    <row r="427" s="112" customFormat="1" x14ac:dyDescent="0.2"/>
    <row r="428" s="112" customFormat="1" x14ac:dyDescent="0.2"/>
    <row r="429" s="112" customFormat="1" x14ac:dyDescent="0.2"/>
    <row r="430" s="112" customFormat="1" x14ac:dyDescent="0.2"/>
    <row r="431" s="112" customFormat="1" x14ac:dyDescent="0.2"/>
    <row r="432" s="112" customFormat="1" x14ac:dyDescent="0.2"/>
    <row r="433" s="112" customFormat="1" x14ac:dyDescent="0.2"/>
    <row r="434" s="112" customFormat="1" x14ac:dyDescent="0.2"/>
    <row r="435" s="112" customFormat="1" x14ac:dyDescent="0.2"/>
    <row r="436" s="112" customFormat="1" x14ac:dyDescent="0.2"/>
    <row r="437" s="112" customFormat="1" x14ac:dyDescent="0.2"/>
    <row r="438" s="112" customFormat="1" x14ac:dyDescent="0.2"/>
    <row r="439" s="112" customFormat="1" x14ac:dyDescent="0.2"/>
    <row r="440" s="112" customFormat="1" x14ac:dyDescent="0.2"/>
    <row r="441" s="112" customFormat="1" x14ac:dyDescent="0.2"/>
    <row r="442" s="112" customFormat="1" x14ac:dyDescent="0.2"/>
    <row r="443" s="112" customFormat="1" x14ac:dyDescent="0.2"/>
    <row r="444" s="112" customFormat="1" x14ac:dyDescent="0.2"/>
    <row r="445" s="112" customFormat="1" x14ac:dyDescent="0.2"/>
    <row r="446" s="112" customFormat="1" x14ac:dyDescent="0.2"/>
    <row r="447" s="112" customFormat="1" x14ac:dyDescent="0.2"/>
    <row r="448" s="112" customFormat="1" x14ac:dyDescent="0.2"/>
    <row r="449" s="112" customFormat="1" x14ac:dyDescent="0.2"/>
    <row r="450" s="112" customFormat="1" x14ac:dyDescent="0.2"/>
    <row r="451" s="112" customFormat="1" x14ac:dyDescent="0.2"/>
    <row r="452" s="112" customFormat="1" x14ac:dyDescent="0.2"/>
    <row r="453" s="112" customFormat="1" x14ac:dyDescent="0.2"/>
    <row r="454" s="112" customFormat="1" x14ac:dyDescent="0.2"/>
    <row r="455" s="112" customFormat="1" x14ac:dyDescent="0.2"/>
    <row r="456" s="112" customFormat="1" x14ac:dyDescent="0.2"/>
    <row r="457" s="112" customFormat="1" x14ac:dyDescent="0.2"/>
    <row r="458" s="112" customFormat="1" x14ac:dyDescent="0.2"/>
    <row r="459" s="112" customFormat="1" x14ac:dyDescent="0.2"/>
    <row r="460" s="112" customFormat="1" x14ac:dyDescent="0.2"/>
    <row r="461" s="112" customFormat="1" x14ac:dyDescent="0.2"/>
    <row r="462" s="112" customFormat="1" x14ac:dyDescent="0.2"/>
    <row r="463" s="112" customFormat="1" x14ac:dyDescent="0.2"/>
    <row r="464" s="112" customFormat="1" x14ac:dyDescent="0.2"/>
    <row r="465" s="112" customFormat="1" x14ac:dyDescent="0.2"/>
    <row r="466" s="112" customFormat="1" x14ac:dyDescent="0.2"/>
    <row r="467" s="112" customFormat="1" x14ac:dyDescent="0.2"/>
    <row r="468" s="112" customFormat="1" x14ac:dyDescent="0.2"/>
    <row r="469" s="112" customFormat="1" x14ac:dyDescent="0.2"/>
    <row r="470" s="112" customFormat="1" x14ac:dyDescent="0.2"/>
    <row r="471" s="112" customFormat="1" x14ac:dyDescent="0.2"/>
    <row r="472" s="112" customFormat="1" x14ac:dyDescent="0.2"/>
    <row r="473" s="112" customFormat="1" x14ac:dyDescent="0.2"/>
    <row r="474" s="112" customFormat="1" x14ac:dyDescent="0.2"/>
    <row r="475" s="112" customFormat="1" x14ac:dyDescent="0.2"/>
    <row r="476" s="112" customFormat="1" x14ac:dyDescent="0.2"/>
    <row r="477" s="112" customFormat="1" x14ac:dyDescent="0.2"/>
    <row r="478" s="112" customFormat="1" x14ac:dyDescent="0.2"/>
    <row r="479" s="112" customFormat="1" x14ac:dyDescent="0.2"/>
    <row r="480" s="112" customFormat="1" x14ac:dyDescent="0.2"/>
    <row r="481" s="112" customFormat="1" x14ac:dyDescent="0.2"/>
    <row r="482" s="112" customFormat="1" x14ac:dyDescent="0.2"/>
    <row r="483" s="112" customFormat="1" x14ac:dyDescent="0.2"/>
    <row r="484" s="112" customFormat="1" x14ac:dyDescent="0.2"/>
    <row r="485" s="112" customFormat="1" x14ac:dyDescent="0.2"/>
    <row r="486" s="112" customFormat="1" x14ac:dyDescent="0.2"/>
    <row r="487" s="112" customFormat="1" x14ac:dyDescent="0.2"/>
    <row r="488" s="112" customFormat="1" x14ac:dyDescent="0.2"/>
    <row r="489" s="112" customFormat="1" x14ac:dyDescent="0.2"/>
    <row r="490" s="112" customFormat="1" x14ac:dyDescent="0.2"/>
    <row r="491" s="112" customFormat="1" x14ac:dyDescent="0.2"/>
    <row r="492" s="112" customFormat="1" x14ac:dyDescent="0.2"/>
    <row r="493" s="112" customFormat="1" x14ac:dyDescent="0.2"/>
    <row r="494" s="112" customFormat="1" x14ac:dyDescent="0.2"/>
    <row r="495" s="112" customFormat="1" x14ac:dyDescent="0.2"/>
    <row r="496" s="112" customFormat="1" x14ac:dyDescent="0.2"/>
    <row r="497" s="112" customFormat="1" x14ac:dyDescent="0.2"/>
    <row r="498" s="112" customFormat="1" x14ac:dyDescent="0.2"/>
    <row r="499" s="112" customFormat="1" x14ac:dyDescent="0.2"/>
    <row r="500" s="112" customFormat="1" x14ac:dyDescent="0.2"/>
    <row r="501" s="112" customFormat="1" x14ac:dyDescent="0.2"/>
    <row r="502" s="112" customFormat="1" x14ac:dyDescent="0.2"/>
    <row r="503" s="112" customFormat="1" x14ac:dyDescent="0.2"/>
    <row r="504" s="112" customFormat="1" x14ac:dyDescent="0.2"/>
    <row r="505" s="112" customFormat="1" x14ac:dyDescent="0.2"/>
    <row r="506" s="112" customFormat="1" x14ac:dyDescent="0.2"/>
    <row r="507" s="112" customFormat="1" x14ac:dyDescent="0.2"/>
    <row r="508" s="112" customFormat="1" x14ac:dyDescent="0.2"/>
    <row r="509" s="112" customFormat="1" x14ac:dyDescent="0.2"/>
    <row r="510" s="112" customFormat="1" x14ac:dyDescent="0.2"/>
    <row r="511" s="112" customFormat="1" x14ac:dyDescent="0.2"/>
    <row r="512" s="112" customFormat="1" x14ac:dyDescent="0.2"/>
    <row r="513" s="112" customFormat="1" x14ac:dyDescent="0.2"/>
    <row r="514" s="112" customFormat="1" x14ac:dyDescent="0.2"/>
    <row r="515" s="112" customFormat="1" x14ac:dyDescent="0.2"/>
    <row r="516" s="112" customFormat="1" x14ac:dyDescent="0.2"/>
    <row r="517" s="112" customFormat="1" x14ac:dyDescent="0.2"/>
    <row r="518" s="112" customFormat="1" x14ac:dyDescent="0.2"/>
    <row r="519" s="112" customFormat="1" x14ac:dyDescent="0.2"/>
    <row r="520" s="112" customFormat="1" x14ac:dyDescent="0.2"/>
    <row r="521" s="112" customFormat="1" x14ac:dyDescent="0.2"/>
    <row r="522" s="112" customFormat="1" x14ac:dyDescent="0.2"/>
    <row r="523" s="112" customFormat="1" x14ac:dyDescent="0.2"/>
    <row r="524" s="112" customFormat="1" x14ac:dyDescent="0.2"/>
    <row r="525" s="112" customFormat="1" x14ac:dyDescent="0.2"/>
    <row r="526" s="112" customFormat="1" x14ac:dyDescent="0.2"/>
    <row r="527" s="112" customFormat="1" x14ac:dyDescent="0.2"/>
    <row r="528" s="112" customFormat="1" x14ac:dyDescent="0.2"/>
    <row r="529" s="112" customFormat="1" x14ac:dyDescent="0.2"/>
    <row r="530" s="112" customFormat="1" x14ac:dyDescent="0.2"/>
    <row r="531" s="112" customFormat="1" x14ac:dyDescent="0.2"/>
    <row r="532" s="112" customFormat="1" x14ac:dyDescent="0.2"/>
    <row r="533" s="112" customFormat="1" x14ac:dyDescent="0.2"/>
    <row r="534" s="112" customFormat="1" x14ac:dyDescent="0.2"/>
    <row r="535" s="112" customFormat="1" x14ac:dyDescent="0.2"/>
    <row r="536" s="112" customFormat="1" x14ac:dyDescent="0.2"/>
    <row r="537" s="112" customFormat="1" x14ac:dyDescent="0.2"/>
    <row r="538" s="112" customFormat="1" x14ac:dyDescent="0.2"/>
    <row r="539" s="112" customFormat="1" x14ac:dyDescent="0.2"/>
    <row r="540" s="112" customFormat="1" x14ac:dyDescent="0.2"/>
    <row r="541" s="112" customFormat="1" x14ac:dyDescent="0.2"/>
    <row r="542" s="112" customFormat="1" x14ac:dyDescent="0.2"/>
    <row r="543" s="112" customFormat="1" x14ac:dyDescent="0.2"/>
    <row r="544" s="112" customFormat="1" x14ac:dyDescent="0.2"/>
    <row r="545" s="112" customFormat="1" x14ac:dyDescent="0.2"/>
    <row r="546" s="112" customFormat="1" x14ac:dyDescent="0.2"/>
    <row r="547" s="112" customFormat="1" x14ac:dyDescent="0.2"/>
    <row r="548" s="112" customFormat="1" x14ac:dyDescent="0.2"/>
    <row r="549" s="112" customFormat="1" x14ac:dyDescent="0.2"/>
    <row r="550" s="112" customFormat="1" x14ac:dyDescent="0.2"/>
    <row r="551" s="112" customFormat="1" x14ac:dyDescent="0.2"/>
    <row r="552" s="112" customFormat="1" x14ac:dyDescent="0.2"/>
    <row r="553" s="112" customFormat="1" x14ac:dyDescent="0.2"/>
    <row r="554" s="112" customFormat="1" x14ac:dyDescent="0.2"/>
    <row r="555" s="112" customFormat="1" x14ac:dyDescent="0.2"/>
    <row r="556" s="112" customFormat="1" x14ac:dyDescent="0.2"/>
    <row r="557" s="112" customFormat="1" x14ac:dyDescent="0.2"/>
    <row r="558" s="112" customFormat="1" x14ac:dyDescent="0.2"/>
    <row r="559" s="112" customFormat="1" x14ac:dyDescent="0.2"/>
    <row r="560" s="112" customFormat="1" x14ac:dyDescent="0.2"/>
    <row r="561" s="112" customFormat="1" x14ac:dyDescent="0.2"/>
    <row r="562" s="112" customFormat="1" x14ac:dyDescent="0.2"/>
    <row r="563" s="112" customFormat="1" x14ac:dyDescent="0.2"/>
    <row r="564" s="112" customFormat="1" x14ac:dyDescent="0.2"/>
    <row r="565" s="112" customFormat="1" x14ac:dyDescent="0.2"/>
    <row r="566" s="112" customFormat="1" x14ac:dyDescent="0.2"/>
    <row r="567" s="112" customFormat="1" x14ac:dyDescent="0.2"/>
    <row r="568" s="112" customFormat="1" x14ac:dyDescent="0.2"/>
    <row r="569" s="112" customFormat="1" x14ac:dyDescent="0.2"/>
    <row r="570" s="112" customFormat="1" x14ac:dyDescent="0.2"/>
    <row r="571" s="112" customFormat="1" x14ac:dyDescent="0.2"/>
    <row r="572" s="112" customFormat="1" x14ac:dyDescent="0.2"/>
    <row r="573" s="112" customFormat="1" x14ac:dyDescent="0.2"/>
    <row r="574" s="112" customFormat="1" x14ac:dyDescent="0.2"/>
    <row r="575" s="112" customFormat="1" x14ac:dyDescent="0.2"/>
    <row r="576" s="112" customFormat="1" x14ac:dyDescent="0.2"/>
    <row r="577" s="112" customFormat="1" x14ac:dyDescent="0.2"/>
    <row r="578" s="112" customFormat="1" x14ac:dyDescent="0.2"/>
    <row r="579" s="112" customFormat="1" x14ac:dyDescent="0.2"/>
    <row r="580" s="112" customFormat="1" x14ac:dyDescent="0.2"/>
    <row r="581" s="112" customFormat="1" x14ac:dyDescent="0.2"/>
    <row r="582" s="112" customFormat="1" x14ac:dyDescent="0.2"/>
    <row r="583" s="112" customFormat="1" x14ac:dyDescent="0.2"/>
    <row r="584" s="112" customFormat="1" x14ac:dyDescent="0.2"/>
    <row r="585" s="112" customFormat="1" x14ac:dyDescent="0.2"/>
    <row r="586" s="112" customFormat="1" x14ac:dyDescent="0.2"/>
    <row r="587" s="112" customFormat="1" x14ac:dyDescent="0.2"/>
    <row r="588" s="112" customFormat="1" x14ac:dyDescent="0.2"/>
    <row r="589" s="112" customFormat="1" x14ac:dyDescent="0.2"/>
    <row r="590" s="112" customFormat="1" x14ac:dyDescent="0.2"/>
    <row r="591" s="112" customFormat="1" x14ac:dyDescent="0.2"/>
    <row r="592" s="112" customFormat="1" x14ac:dyDescent="0.2"/>
    <row r="593" s="112" customFormat="1" x14ac:dyDescent="0.2"/>
    <row r="594" s="112" customFormat="1" x14ac:dyDescent="0.2"/>
    <row r="595" s="112" customFormat="1" x14ac:dyDescent="0.2"/>
    <row r="596" s="112" customFormat="1" x14ac:dyDescent="0.2"/>
    <row r="597" s="112" customFormat="1" x14ac:dyDescent="0.2"/>
    <row r="598" s="112" customFormat="1" x14ac:dyDescent="0.2"/>
    <row r="599" s="112" customFormat="1" x14ac:dyDescent="0.2"/>
    <row r="600" s="112" customFormat="1" x14ac:dyDescent="0.2"/>
    <row r="601" s="112" customFormat="1" x14ac:dyDescent="0.2"/>
    <row r="602" s="112" customFormat="1" x14ac:dyDescent="0.2"/>
    <row r="603" s="112" customFormat="1" x14ac:dyDescent="0.2"/>
    <row r="604" s="112" customFormat="1" x14ac:dyDescent="0.2"/>
    <row r="605" s="112" customFormat="1" x14ac:dyDescent="0.2"/>
    <row r="606" s="112" customFormat="1" x14ac:dyDescent="0.2"/>
    <row r="607" s="112" customFormat="1" x14ac:dyDescent="0.2"/>
    <row r="608" s="112" customFormat="1" x14ac:dyDescent="0.2"/>
    <row r="609" s="112" customFormat="1" x14ac:dyDescent="0.2"/>
    <row r="610" s="112" customFormat="1" x14ac:dyDescent="0.2"/>
    <row r="611" s="112" customFormat="1" x14ac:dyDescent="0.2"/>
    <row r="612" s="112" customFormat="1" x14ac:dyDescent="0.2"/>
    <row r="613" s="112" customFormat="1" x14ac:dyDescent="0.2"/>
    <row r="614" s="112" customFormat="1" x14ac:dyDescent="0.2"/>
    <row r="615" s="112" customFormat="1" x14ac:dyDescent="0.2"/>
    <row r="616" s="112" customFormat="1" x14ac:dyDescent="0.2"/>
    <row r="617" s="112" customFormat="1" x14ac:dyDescent="0.2"/>
    <row r="618" s="112" customFormat="1" x14ac:dyDescent="0.2"/>
    <row r="619" s="112" customFormat="1" x14ac:dyDescent="0.2"/>
    <row r="620" s="112" customFormat="1" x14ac:dyDescent="0.2"/>
    <row r="621" s="112" customFormat="1" x14ac:dyDescent="0.2"/>
    <row r="622" s="112" customFormat="1" x14ac:dyDescent="0.2"/>
    <row r="623" s="112" customFormat="1" x14ac:dyDescent="0.2"/>
    <row r="624" s="112" customFormat="1" x14ac:dyDescent="0.2"/>
    <row r="625" s="112" customFormat="1" x14ac:dyDescent="0.2"/>
    <row r="626" s="112" customFormat="1" x14ac:dyDescent="0.2"/>
    <row r="627" s="112" customFormat="1" x14ac:dyDescent="0.2"/>
    <row r="628" s="112" customFormat="1" x14ac:dyDescent="0.2"/>
    <row r="629" s="112" customFormat="1" x14ac:dyDescent="0.2"/>
    <row r="630" s="112" customFormat="1" x14ac:dyDescent="0.2"/>
    <row r="631" s="112" customFormat="1" x14ac:dyDescent="0.2"/>
    <row r="632" s="112" customFormat="1" x14ac:dyDescent="0.2"/>
    <row r="633" s="112" customFormat="1" x14ac:dyDescent="0.2"/>
    <row r="634" s="112" customFormat="1" x14ac:dyDescent="0.2"/>
    <row r="635" s="112" customFormat="1" x14ac:dyDescent="0.2"/>
    <row r="636" s="112" customFormat="1" x14ac:dyDescent="0.2"/>
    <row r="637" s="112" customFormat="1" x14ac:dyDescent="0.2"/>
    <row r="638" s="112" customFormat="1" x14ac:dyDescent="0.2"/>
    <row r="639" s="112" customFormat="1" x14ac:dyDescent="0.2"/>
    <row r="640" s="112" customFormat="1" x14ac:dyDescent="0.2"/>
    <row r="641" s="112" customFormat="1" x14ac:dyDescent="0.2"/>
    <row r="642" s="112" customFormat="1" x14ac:dyDescent="0.2"/>
    <row r="643" s="112" customFormat="1" x14ac:dyDescent="0.2"/>
    <row r="644" s="112" customFormat="1" x14ac:dyDescent="0.2"/>
    <row r="645" s="112" customFormat="1" x14ac:dyDescent="0.2"/>
    <row r="646" s="112" customFormat="1" x14ac:dyDescent="0.2"/>
    <row r="647" s="112" customFormat="1" x14ac:dyDescent="0.2"/>
    <row r="648" s="112" customFormat="1" x14ac:dyDescent="0.2"/>
    <row r="649" s="112" customFormat="1" x14ac:dyDescent="0.2"/>
    <row r="650" s="112" customFormat="1" x14ac:dyDescent="0.2"/>
    <row r="651" s="112" customFormat="1" x14ac:dyDescent="0.2"/>
    <row r="652" s="112" customFormat="1" x14ac:dyDescent="0.2"/>
    <row r="653" s="112" customFormat="1" x14ac:dyDescent="0.2"/>
    <row r="654" s="112" customFormat="1" x14ac:dyDescent="0.2"/>
    <row r="655" s="112" customFormat="1" x14ac:dyDescent="0.2"/>
    <row r="656" s="112" customFormat="1" x14ac:dyDescent="0.2"/>
    <row r="657" s="112" customFormat="1" x14ac:dyDescent="0.2"/>
    <row r="658" s="112" customFormat="1" x14ac:dyDescent="0.2"/>
    <row r="659" s="112" customFormat="1" x14ac:dyDescent="0.2"/>
    <row r="660" s="112" customFormat="1" x14ac:dyDescent="0.2"/>
    <row r="661" s="112" customFormat="1" x14ac:dyDescent="0.2"/>
    <row r="662" s="112" customFormat="1" x14ac:dyDescent="0.2"/>
    <row r="663" s="112" customFormat="1" x14ac:dyDescent="0.2"/>
    <row r="664" s="112" customFormat="1" x14ac:dyDescent="0.2"/>
    <row r="665" s="112" customFormat="1" x14ac:dyDescent="0.2"/>
    <row r="666" s="112" customFormat="1" x14ac:dyDescent="0.2"/>
    <row r="667" s="112" customFormat="1" x14ac:dyDescent="0.2"/>
    <row r="668" s="112" customFormat="1" x14ac:dyDescent="0.2"/>
    <row r="669" s="112" customFormat="1" x14ac:dyDescent="0.2"/>
    <row r="670" s="112" customFormat="1" x14ac:dyDescent="0.2"/>
    <row r="671" s="112" customFormat="1" x14ac:dyDescent="0.2"/>
    <row r="672" s="112" customFormat="1" x14ac:dyDescent="0.2"/>
    <row r="673" s="112" customFormat="1" x14ac:dyDescent="0.2"/>
    <row r="674" s="112" customFormat="1" x14ac:dyDescent="0.2"/>
    <row r="675" s="112" customFormat="1" x14ac:dyDescent="0.2"/>
    <row r="676" s="112" customFormat="1" x14ac:dyDescent="0.2"/>
    <row r="677" s="112" customFormat="1" x14ac:dyDescent="0.2"/>
    <row r="678" s="112" customFormat="1" x14ac:dyDescent="0.2"/>
    <row r="679" s="112" customFormat="1" x14ac:dyDescent="0.2"/>
    <row r="680" s="112" customFormat="1" x14ac:dyDescent="0.2"/>
    <row r="681" s="112" customFormat="1" x14ac:dyDescent="0.2"/>
    <row r="682" s="112" customFormat="1" x14ac:dyDescent="0.2"/>
    <row r="683" s="112" customFormat="1" x14ac:dyDescent="0.2"/>
    <row r="684" s="112" customFormat="1" x14ac:dyDescent="0.2"/>
    <row r="685" s="112" customFormat="1" x14ac:dyDescent="0.2"/>
    <row r="686" s="112" customFormat="1" x14ac:dyDescent="0.2"/>
    <row r="687" s="112" customFormat="1" x14ac:dyDescent="0.2"/>
    <row r="688" s="112" customFormat="1" x14ac:dyDescent="0.2"/>
    <row r="689" s="112" customFormat="1" x14ac:dyDescent="0.2"/>
    <row r="690" s="112" customFormat="1" x14ac:dyDescent="0.2"/>
    <row r="691" s="112" customFormat="1" x14ac:dyDescent="0.2"/>
    <row r="692" s="112" customFormat="1" x14ac:dyDescent="0.2"/>
    <row r="693" s="112" customFormat="1" x14ac:dyDescent="0.2"/>
    <row r="694" s="112" customFormat="1" x14ac:dyDescent="0.2"/>
    <row r="695" s="112" customFormat="1" x14ac:dyDescent="0.2"/>
    <row r="696" s="112" customFormat="1" x14ac:dyDescent="0.2"/>
    <row r="697" s="112" customFormat="1" x14ac:dyDescent="0.2"/>
    <row r="698" s="112" customFormat="1" x14ac:dyDescent="0.2"/>
    <row r="699" s="112" customFormat="1" x14ac:dyDescent="0.2"/>
    <row r="700" s="112" customFormat="1" x14ac:dyDescent="0.2"/>
    <row r="701" s="112" customFormat="1" x14ac:dyDescent="0.2"/>
    <row r="702" s="112" customFormat="1" x14ac:dyDescent="0.2"/>
    <row r="703" s="112" customFormat="1" x14ac:dyDescent="0.2"/>
    <row r="704" s="112" customFormat="1" x14ac:dyDescent="0.2"/>
    <row r="705" s="112" customFormat="1" x14ac:dyDescent="0.2"/>
    <row r="706" s="112" customFormat="1" x14ac:dyDescent="0.2"/>
    <row r="707" s="112" customFormat="1" x14ac:dyDescent="0.2"/>
    <row r="708" s="112" customFormat="1" x14ac:dyDescent="0.2"/>
    <row r="709" s="112" customFormat="1" x14ac:dyDescent="0.2"/>
    <row r="710" s="112" customFormat="1" x14ac:dyDescent="0.2"/>
    <row r="711" s="112" customFormat="1" x14ac:dyDescent="0.2"/>
    <row r="712" s="112" customFormat="1" x14ac:dyDescent="0.2"/>
    <row r="713" s="112" customFormat="1" x14ac:dyDescent="0.2"/>
    <row r="714" s="112" customFormat="1" x14ac:dyDescent="0.2"/>
    <row r="715" s="112" customFormat="1" x14ac:dyDescent="0.2"/>
    <row r="716" s="112" customFormat="1" x14ac:dyDescent="0.2"/>
    <row r="717" s="112" customFormat="1" x14ac:dyDescent="0.2"/>
    <row r="718" s="112" customFormat="1" x14ac:dyDescent="0.2"/>
    <row r="719" s="112" customFormat="1" x14ac:dyDescent="0.2"/>
    <row r="720" s="112" customFormat="1" x14ac:dyDescent="0.2"/>
    <row r="721" s="112" customFormat="1" x14ac:dyDescent="0.2"/>
    <row r="722" s="112" customFormat="1" x14ac:dyDescent="0.2"/>
    <row r="723" s="112" customFormat="1" x14ac:dyDescent="0.2"/>
    <row r="724" s="112" customFormat="1" x14ac:dyDescent="0.2"/>
    <row r="725" s="112" customFormat="1" x14ac:dyDescent="0.2"/>
    <row r="726" s="112" customFormat="1" x14ac:dyDescent="0.2"/>
    <row r="727" s="112" customFormat="1" x14ac:dyDescent="0.2"/>
    <row r="728" s="112" customFormat="1" x14ac:dyDescent="0.2"/>
    <row r="729" s="112" customFormat="1" x14ac:dyDescent="0.2"/>
    <row r="730" s="112" customFormat="1" x14ac:dyDescent="0.2"/>
    <row r="731" s="112" customFormat="1" x14ac:dyDescent="0.2"/>
    <row r="732" s="112" customFormat="1" x14ac:dyDescent="0.2"/>
    <row r="733" s="112" customFormat="1" x14ac:dyDescent="0.2"/>
    <row r="734" s="112" customFormat="1" x14ac:dyDescent="0.2"/>
    <row r="735" s="112" customFormat="1" x14ac:dyDescent="0.2"/>
    <row r="736" s="112" customFormat="1" x14ac:dyDescent="0.2"/>
    <row r="737" s="112" customFormat="1" x14ac:dyDescent="0.2"/>
    <row r="738" s="112" customFormat="1" x14ac:dyDescent="0.2"/>
    <row r="739" s="112" customFormat="1" x14ac:dyDescent="0.2"/>
    <row r="740" s="112" customFormat="1" x14ac:dyDescent="0.2"/>
    <row r="741" s="112" customFormat="1" x14ac:dyDescent="0.2"/>
    <row r="742" s="112" customFormat="1" x14ac:dyDescent="0.2"/>
    <row r="743" s="112" customFormat="1" x14ac:dyDescent="0.2"/>
    <row r="744" s="112" customFormat="1" x14ac:dyDescent="0.2"/>
    <row r="745" s="112" customFormat="1" x14ac:dyDescent="0.2"/>
    <row r="746" s="112" customFormat="1" x14ac:dyDescent="0.2"/>
    <row r="747" s="112" customFormat="1" x14ac:dyDescent="0.2"/>
    <row r="748" s="112" customFormat="1" x14ac:dyDescent="0.2"/>
    <row r="749" s="112" customFormat="1" x14ac:dyDescent="0.2"/>
  </sheetData>
  <mergeCells count="11">
    <mergeCell ref="E12:H12"/>
    <mergeCell ref="E13:H13"/>
    <mergeCell ref="M8:Q8"/>
    <mergeCell ref="M9:Q9"/>
    <mergeCell ref="L6:Q6"/>
    <mergeCell ref="E8:H8"/>
    <mergeCell ref="E1:G1"/>
    <mergeCell ref="E2:G2"/>
    <mergeCell ref="E3:G3"/>
    <mergeCell ref="E4:G4"/>
    <mergeCell ref="M7:Q7"/>
  </mergeCells>
  <phoneticPr fontId="0" type="noConversion"/>
  <conditionalFormatting sqref="C8">
    <cfRule type="containsBlanks" dxfId="9" priority="2">
      <formula>LEN(TRIM(C8))=0</formula>
    </cfRule>
  </conditionalFormatting>
  <conditionalFormatting sqref="C12:C13">
    <cfRule type="containsBlanks" dxfId="1" priority="1">
      <formula>LEN(TRIM(C12))=0</formula>
    </cfRule>
  </conditionalFormatting>
  <pageMargins left="0.7" right="0.7" top="0.75" bottom="0.75" header="0.3" footer="0.3"/>
  <pageSetup scale="79" orientation="portrait" r:id="rId1"/>
  <headerFooter alignWithMargins="0"/>
  <ignoredErrors>
    <ignoredError sqref="C29" unlockedFormula="1"/>
    <ignoredError sqref="M24 M25:M6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Z613"/>
  <sheetViews>
    <sheetView topLeftCell="A8" zoomScaleNormal="100" workbookViewId="0">
      <selection activeCell="D40" sqref="D40"/>
    </sheetView>
  </sheetViews>
  <sheetFormatPr defaultColWidth="9.140625" defaultRowHeight="12.75" x14ac:dyDescent="0.2"/>
  <cols>
    <col min="1" max="10" width="11.42578125" style="13" customWidth="1"/>
    <col min="11" max="11" width="8.5703125" style="13" customWidth="1"/>
    <col min="12" max="21" width="8.5703125" style="14" customWidth="1"/>
    <col min="22" max="22" width="8.5703125" style="13" customWidth="1"/>
    <col min="23" max="23" width="15.5703125" style="13" bestFit="1" customWidth="1"/>
    <col min="24" max="24" width="11.42578125" style="13" customWidth="1"/>
    <col min="25" max="78" width="9.140625" style="135"/>
    <col min="79" max="16384" width="9.140625" style="13"/>
  </cols>
  <sheetData>
    <row r="1" spans="1:24" ht="15" customHeight="1" x14ac:dyDescent="0.25">
      <c r="A1" s="22"/>
      <c r="B1" s="23"/>
      <c r="C1" s="23"/>
      <c r="D1" s="208" t="s">
        <v>131</v>
      </c>
      <c r="E1" s="336" t="str">
        <f>+IF('Site Ground Motions'!E1="","",'Site Ground Motions'!E1)</f>
        <v/>
      </c>
      <c r="F1" s="336"/>
      <c r="G1" s="336"/>
      <c r="H1" s="217" t="s">
        <v>132</v>
      </c>
      <c r="I1" s="211" t="str">
        <f>+IF('Site Ground Motions'!I1="","",'Site Ground Motions'!I1)</f>
        <v/>
      </c>
      <c r="J1" s="210" t="s">
        <v>133</v>
      </c>
      <c r="K1" s="24"/>
      <c r="L1" s="25" t="s">
        <v>134</v>
      </c>
      <c r="M1" s="26"/>
      <c r="N1" s="24"/>
      <c r="O1" s="24"/>
      <c r="P1" s="24"/>
      <c r="Q1" s="24"/>
      <c r="R1" s="24"/>
      <c r="S1" s="112"/>
      <c r="T1" s="112"/>
      <c r="U1" s="112"/>
      <c r="V1" s="112"/>
      <c r="W1" s="205" t="s">
        <v>178</v>
      </c>
      <c r="X1" s="206">
        <f>'Site Ground Motions'!X1</f>
        <v>2.1</v>
      </c>
    </row>
    <row r="2" spans="1:24" ht="15" customHeight="1" x14ac:dyDescent="0.2">
      <c r="A2" s="28"/>
      <c r="B2" s="29"/>
      <c r="C2" s="29"/>
      <c r="D2" s="208" t="s">
        <v>135</v>
      </c>
      <c r="E2" s="336" t="str">
        <f>+IF('Site Ground Motions'!E2="","",'Site Ground Motions'!E2)</f>
        <v/>
      </c>
      <c r="F2" s="336"/>
      <c r="G2" s="336"/>
      <c r="H2" s="217" t="s">
        <v>136</v>
      </c>
      <c r="I2" s="219" t="str">
        <f>+IF('Site Ground Motions'!I2="","",'Site Ground Motions'!I2)</f>
        <v/>
      </c>
      <c r="J2" s="211" t="s">
        <v>182</v>
      </c>
      <c r="K2" s="24"/>
      <c r="L2" s="26" t="s">
        <v>137</v>
      </c>
      <c r="M2" s="26"/>
      <c r="N2" s="24"/>
      <c r="O2" s="24"/>
      <c r="P2" s="24"/>
      <c r="Q2" s="24"/>
      <c r="R2" s="24"/>
      <c r="S2" s="112"/>
      <c r="T2" s="112"/>
      <c r="U2" s="112"/>
      <c r="V2" s="112"/>
      <c r="W2" s="205" t="s">
        <v>179</v>
      </c>
      <c r="X2" s="216">
        <f>'Site Ground Motions'!X2</f>
        <v>45201</v>
      </c>
    </row>
    <row r="3" spans="1:24" ht="15" customHeight="1" x14ac:dyDescent="0.2">
      <c r="A3" s="28"/>
      <c r="B3" s="29"/>
      <c r="C3" s="29"/>
      <c r="D3" s="208" t="s">
        <v>138</v>
      </c>
      <c r="E3" s="336" t="str">
        <f>+IF('Site Ground Motions'!E3="","",'Site Ground Motions'!E3)</f>
        <v/>
      </c>
      <c r="F3" s="336"/>
      <c r="G3" s="336"/>
      <c r="H3" s="217" t="s">
        <v>139</v>
      </c>
      <c r="I3" s="211" t="str">
        <f>+IF('Site Ground Motions'!I3="","",'Site Ground Motions'!I3)</f>
        <v/>
      </c>
      <c r="J3" s="210" t="s">
        <v>140</v>
      </c>
      <c r="K3" s="24"/>
      <c r="L3" s="30"/>
      <c r="M3" s="30"/>
      <c r="N3" s="24"/>
      <c r="O3" s="24"/>
      <c r="P3" s="24"/>
      <c r="Q3" s="24"/>
      <c r="R3" s="24"/>
      <c r="S3" s="112"/>
      <c r="T3" s="112"/>
      <c r="U3" s="112"/>
      <c r="V3" s="112"/>
      <c r="W3" s="112"/>
      <c r="X3" s="112"/>
    </row>
    <row r="4" spans="1:24" ht="15" customHeight="1" x14ac:dyDescent="0.25">
      <c r="A4" s="31"/>
      <c r="B4" s="32"/>
      <c r="C4" s="32"/>
      <c r="D4" s="208" t="s">
        <v>141</v>
      </c>
      <c r="E4" s="336" t="s">
        <v>176</v>
      </c>
      <c r="F4" s="336"/>
      <c r="G4" s="336"/>
      <c r="H4" s="217" t="s">
        <v>136</v>
      </c>
      <c r="I4" s="211" t="str">
        <f>+IF('Site Ground Motions'!I4="","",'Site Ground Motions'!I4)</f>
        <v/>
      </c>
      <c r="J4" s="212" t="str">
        <f>+IF('Site Ground Motions'!J4="","",'Site Ground Motions'!J4)</f>
        <v/>
      </c>
      <c r="K4" s="24"/>
      <c r="L4" s="320" t="s">
        <v>164</v>
      </c>
      <c r="M4" s="320"/>
      <c r="N4" s="320"/>
      <c r="O4" s="320"/>
      <c r="P4" s="320"/>
      <c r="Q4" s="320"/>
      <c r="R4" s="320"/>
      <c r="S4" s="320"/>
      <c r="T4" s="112"/>
      <c r="U4" s="112"/>
      <c r="V4" s="112"/>
      <c r="W4" s="112"/>
      <c r="X4" s="112"/>
    </row>
    <row r="5" spans="1:24" ht="15" customHeight="1" x14ac:dyDescent="0.2">
      <c r="A5" s="42"/>
      <c r="B5" s="43"/>
      <c r="C5" s="43"/>
      <c r="D5" s="43"/>
      <c r="E5" s="43"/>
      <c r="F5" s="43"/>
      <c r="G5" s="43"/>
      <c r="H5" s="43"/>
      <c r="I5" s="43"/>
      <c r="J5" s="44"/>
      <c r="K5" s="24"/>
      <c r="L5" s="68"/>
      <c r="M5" s="313" t="s">
        <v>165</v>
      </c>
      <c r="N5" s="314"/>
      <c r="O5" s="314"/>
      <c r="P5" s="314"/>
      <c r="Q5" s="314"/>
      <c r="R5" s="314"/>
      <c r="S5" s="314"/>
      <c r="T5" s="112"/>
      <c r="U5" s="112"/>
      <c r="V5" s="112"/>
      <c r="W5" s="112"/>
      <c r="X5" s="112"/>
    </row>
    <row r="6" spans="1:24" ht="15" customHeight="1" thickBot="1" x14ac:dyDescent="0.3">
      <c r="A6" s="45" t="s">
        <v>118</v>
      </c>
      <c r="B6" s="21"/>
      <c r="C6" s="21"/>
      <c r="D6" s="21"/>
      <c r="E6" s="21"/>
      <c r="F6" s="21"/>
      <c r="H6" s="46"/>
      <c r="J6" s="47"/>
      <c r="K6" s="24"/>
      <c r="L6" s="38">
        <v>888</v>
      </c>
      <c r="M6" s="318" t="s">
        <v>166</v>
      </c>
      <c r="N6" s="319"/>
      <c r="O6" s="319"/>
      <c r="P6" s="319"/>
      <c r="Q6" s="319"/>
      <c r="R6" s="319"/>
      <c r="S6" s="319"/>
      <c r="T6" s="112"/>
      <c r="U6" s="112"/>
      <c r="V6" s="112"/>
      <c r="W6" s="112"/>
      <c r="X6" s="112"/>
    </row>
    <row r="7" spans="1:24" ht="15" customHeight="1" x14ac:dyDescent="0.25">
      <c r="A7" s="48"/>
      <c r="J7" s="47"/>
      <c r="K7" s="24"/>
      <c r="L7" s="71">
        <v>1.05</v>
      </c>
      <c r="M7" s="319" t="s">
        <v>167</v>
      </c>
      <c r="N7" s="319"/>
      <c r="O7" s="319"/>
      <c r="P7" s="319"/>
      <c r="Q7" s="319"/>
      <c r="R7" s="319"/>
      <c r="S7" s="319"/>
      <c r="T7" s="112"/>
      <c r="U7" s="112"/>
      <c r="V7" s="112"/>
      <c r="W7" s="112"/>
      <c r="X7" s="112"/>
    </row>
    <row r="8" spans="1:24" ht="15" customHeight="1" x14ac:dyDescent="0.2">
      <c r="A8" s="48"/>
      <c r="B8" s="49" t="s">
        <v>77</v>
      </c>
      <c r="J8" s="47"/>
      <c r="K8" s="24"/>
      <c r="L8" s="24"/>
      <c r="M8" s="24"/>
      <c r="N8" s="24"/>
      <c r="O8" s="24"/>
      <c r="P8" s="24"/>
      <c r="Q8" s="24"/>
      <c r="R8" s="24"/>
      <c r="S8" s="112"/>
      <c r="T8" s="112"/>
      <c r="U8" s="112"/>
      <c r="V8" s="112"/>
      <c r="W8" s="112"/>
      <c r="X8" s="112"/>
    </row>
    <row r="9" spans="1:24" ht="15" customHeight="1" x14ac:dyDescent="0.2">
      <c r="A9" s="48"/>
      <c r="J9" s="47"/>
      <c r="K9" s="137"/>
      <c r="L9" s="138">
        <v>0</v>
      </c>
      <c r="M9" s="138">
        <v>0.8</v>
      </c>
      <c r="N9" s="138">
        <v>0</v>
      </c>
      <c r="O9" s="138">
        <v>0.9</v>
      </c>
      <c r="P9" s="138">
        <v>0</v>
      </c>
      <c r="Q9" s="138">
        <v>1.3</v>
      </c>
      <c r="R9" s="138">
        <v>0</v>
      </c>
      <c r="S9" s="138">
        <v>1.6</v>
      </c>
      <c r="T9" s="138">
        <v>0</v>
      </c>
      <c r="U9" s="138">
        <v>2.4</v>
      </c>
      <c r="V9" s="137"/>
      <c r="W9" s="137"/>
      <c r="X9" s="137"/>
    </row>
    <row r="10" spans="1:24" ht="15" customHeight="1" x14ac:dyDescent="0.3">
      <c r="A10" s="48"/>
      <c r="B10" s="20"/>
      <c r="C10" s="330" t="s">
        <v>78</v>
      </c>
      <c r="D10" s="331"/>
      <c r="E10" s="331"/>
      <c r="F10" s="331"/>
      <c r="G10" s="332"/>
      <c r="J10" s="47"/>
      <c r="K10" s="137"/>
      <c r="L10" s="138">
        <v>0.25</v>
      </c>
      <c r="M10" s="138">
        <v>0.8</v>
      </c>
      <c r="N10" s="138">
        <v>0.25</v>
      </c>
      <c r="O10" s="138">
        <v>0.9</v>
      </c>
      <c r="P10" s="138">
        <v>0.25</v>
      </c>
      <c r="Q10" s="138">
        <v>1.3</v>
      </c>
      <c r="R10" s="138">
        <v>0.25</v>
      </c>
      <c r="S10" s="138">
        <v>1.6</v>
      </c>
      <c r="T10" s="138">
        <v>0.25</v>
      </c>
      <c r="U10" s="138">
        <v>2.4</v>
      </c>
      <c r="V10" s="137"/>
      <c r="W10" s="137"/>
      <c r="X10" s="137"/>
    </row>
    <row r="11" spans="1:24" ht="15" customHeight="1" x14ac:dyDescent="0.2">
      <c r="A11" s="48"/>
      <c r="B11" s="19"/>
      <c r="C11" s="327" t="s">
        <v>79</v>
      </c>
      <c r="D11" s="328"/>
      <c r="E11" s="328"/>
      <c r="F11" s="328"/>
      <c r="G11" s="329"/>
      <c r="J11" s="47"/>
      <c r="K11" s="304" t="s">
        <v>221</v>
      </c>
      <c r="L11" s="138">
        <v>0.5</v>
      </c>
      <c r="M11" s="138">
        <v>0.8</v>
      </c>
      <c r="N11" s="138">
        <v>0.5</v>
      </c>
      <c r="O11" s="138">
        <v>0.9</v>
      </c>
      <c r="P11" s="138">
        <v>0.5</v>
      </c>
      <c r="Q11" s="138">
        <v>1.3</v>
      </c>
      <c r="R11" s="138">
        <v>0.5</v>
      </c>
      <c r="S11" s="138">
        <v>1.4</v>
      </c>
      <c r="T11" s="138">
        <v>0.5</v>
      </c>
      <c r="U11" s="138">
        <v>1.7</v>
      </c>
      <c r="V11" s="137"/>
      <c r="W11" s="137"/>
      <c r="X11" s="137"/>
    </row>
    <row r="12" spans="1:24" ht="15" customHeight="1" x14ac:dyDescent="0.2">
      <c r="A12" s="48"/>
      <c r="B12" s="18" t="s">
        <v>64</v>
      </c>
      <c r="C12" s="58">
        <v>0.25</v>
      </c>
      <c r="D12" s="59">
        <v>0.5</v>
      </c>
      <c r="E12" s="59">
        <v>0.75</v>
      </c>
      <c r="F12" s="59">
        <v>1</v>
      </c>
      <c r="G12" s="59">
        <v>1.25</v>
      </c>
      <c r="H12" s="60">
        <v>1.5</v>
      </c>
      <c r="J12" s="47"/>
      <c r="K12" s="137"/>
      <c r="L12" s="138">
        <v>0.75</v>
      </c>
      <c r="M12" s="138">
        <v>0.8</v>
      </c>
      <c r="N12" s="138">
        <v>0.75</v>
      </c>
      <c r="O12" s="138">
        <v>0.9</v>
      </c>
      <c r="P12" s="138">
        <v>0.75</v>
      </c>
      <c r="Q12" s="138">
        <v>1.2</v>
      </c>
      <c r="R12" s="138">
        <v>0.75</v>
      </c>
      <c r="S12" s="138">
        <v>1.2</v>
      </c>
      <c r="T12" s="138">
        <v>0.75</v>
      </c>
      <c r="U12" s="138">
        <v>1.3</v>
      </c>
      <c r="V12" s="137"/>
      <c r="W12" s="137"/>
      <c r="X12" s="137"/>
    </row>
    <row r="13" spans="1:24" ht="15" customHeight="1" x14ac:dyDescent="0.2">
      <c r="A13" s="48"/>
      <c r="B13" s="16" t="s">
        <v>56</v>
      </c>
      <c r="C13" s="17">
        <v>0.8</v>
      </c>
      <c r="D13" s="17">
        <v>0.8</v>
      </c>
      <c r="E13" s="17">
        <v>0.8</v>
      </c>
      <c r="F13" s="17">
        <v>0.8</v>
      </c>
      <c r="G13" s="17">
        <v>0.8</v>
      </c>
      <c r="H13" s="17">
        <v>0.8</v>
      </c>
      <c r="J13" s="47"/>
      <c r="K13" s="137"/>
      <c r="L13" s="138">
        <v>1</v>
      </c>
      <c r="M13" s="138">
        <v>0.8</v>
      </c>
      <c r="N13" s="138">
        <v>1</v>
      </c>
      <c r="O13" s="138">
        <v>0.9</v>
      </c>
      <c r="P13" s="138">
        <v>1</v>
      </c>
      <c r="Q13" s="138">
        <v>1.2</v>
      </c>
      <c r="R13" s="138">
        <v>1</v>
      </c>
      <c r="S13" s="138">
        <v>1.1000000000000001</v>
      </c>
      <c r="T13" s="138">
        <v>1</v>
      </c>
      <c r="U13" s="138"/>
      <c r="V13" s="137"/>
      <c r="W13" s="137"/>
      <c r="X13" s="137"/>
    </row>
    <row r="14" spans="1:24" ht="15" customHeight="1" x14ac:dyDescent="0.2">
      <c r="A14" s="48"/>
      <c r="B14" s="16" t="s">
        <v>55</v>
      </c>
      <c r="C14" s="17">
        <v>0.9</v>
      </c>
      <c r="D14" s="17">
        <v>0.9</v>
      </c>
      <c r="E14" s="17">
        <v>0.9</v>
      </c>
      <c r="F14" s="17">
        <v>0.9</v>
      </c>
      <c r="G14" s="17">
        <v>0.9</v>
      </c>
      <c r="H14" s="17">
        <v>0.9</v>
      </c>
      <c r="J14" s="47"/>
      <c r="K14" s="137"/>
      <c r="L14" s="138">
        <v>1.25</v>
      </c>
      <c r="M14" s="138">
        <v>0.8</v>
      </c>
      <c r="N14" s="138">
        <v>1.25</v>
      </c>
      <c r="O14" s="138">
        <v>0.9</v>
      </c>
      <c r="P14" s="138">
        <v>1.25</v>
      </c>
      <c r="Q14" s="138">
        <v>1.2</v>
      </c>
      <c r="R14" s="138">
        <v>1.25</v>
      </c>
      <c r="S14" s="138">
        <v>1</v>
      </c>
      <c r="T14" s="138">
        <v>1.25</v>
      </c>
      <c r="U14" s="138"/>
      <c r="V14" s="137"/>
      <c r="W14" s="137"/>
      <c r="X14" s="137"/>
    </row>
    <row r="15" spans="1:24" ht="15" customHeight="1" x14ac:dyDescent="0.2">
      <c r="A15" s="48"/>
      <c r="B15" s="16" t="s">
        <v>54</v>
      </c>
      <c r="C15" s="17">
        <v>1.3</v>
      </c>
      <c r="D15" s="17">
        <v>1.3</v>
      </c>
      <c r="E15" s="17">
        <v>1.2</v>
      </c>
      <c r="F15" s="17">
        <v>1.2</v>
      </c>
      <c r="G15" s="17">
        <v>1.2</v>
      </c>
      <c r="H15" s="17">
        <v>1.2</v>
      </c>
      <c r="J15" s="47"/>
      <c r="K15" s="137"/>
      <c r="L15" s="138">
        <v>1.5</v>
      </c>
      <c r="M15" s="138">
        <v>0.8</v>
      </c>
      <c r="N15" s="138">
        <v>1.5</v>
      </c>
      <c r="O15" s="138">
        <v>0.9</v>
      </c>
      <c r="P15" s="138">
        <v>1.5</v>
      </c>
      <c r="Q15" s="138">
        <v>1.2</v>
      </c>
      <c r="R15" s="138">
        <v>1.5</v>
      </c>
      <c r="S15" s="138">
        <v>1</v>
      </c>
      <c r="T15" s="138">
        <v>1.5</v>
      </c>
      <c r="U15" s="138"/>
      <c r="V15" s="137"/>
      <c r="W15" s="137"/>
      <c r="X15" s="137"/>
    </row>
    <row r="16" spans="1:24" ht="15" customHeight="1" x14ac:dyDescent="0.2">
      <c r="A16" s="48"/>
      <c r="B16" s="16" t="s">
        <v>1</v>
      </c>
      <c r="C16" s="17">
        <v>1.6</v>
      </c>
      <c r="D16" s="17">
        <v>1.4</v>
      </c>
      <c r="E16" s="17">
        <v>1.2</v>
      </c>
      <c r="F16" s="17">
        <v>1.1000000000000001</v>
      </c>
      <c r="G16" s="17">
        <v>1</v>
      </c>
      <c r="H16" s="17">
        <v>1</v>
      </c>
      <c r="J16" s="47"/>
      <c r="K16" s="139"/>
      <c r="L16" s="140" t="s">
        <v>63</v>
      </c>
      <c r="M16" s="141">
        <f>C36</f>
        <v>0.88700000000000001</v>
      </c>
      <c r="N16" s="142" t="s">
        <v>63</v>
      </c>
      <c r="O16" s="141">
        <f>C36</f>
        <v>0.88700000000000001</v>
      </c>
      <c r="P16" s="142" t="s">
        <v>63</v>
      </c>
      <c r="Q16" s="141">
        <f>C36</f>
        <v>0.88700000000000001</v>
      </c>
      <c r="R16" s="142" t="s">
        <v>63</v>
      </c>
      <c r="S16" s="141">
        <f>C36</f>
        <v>0.88700000000000001</v>
      </c>
      <c r="T16" s="142" t="s">
        <v>63</v>
      </c>
      <c r="U16" s="141">
        <f>C36</f>
        <v>0.88700000000000001</v>
      </c>
      <c r="V16" s="137"/>
      <c r="W16" s="137"/>
      <c r="X16" s="137"/>
    </row>
    <row r="17" spans="1:24" ht="15" customHeight="1" x14ac:dyDescent="0.2">
      <c r="A17" s="48"/>
      <c r="B17" s="16" t="s">
        <v>51</v>
      </c>
      <c r="C17" s="17">
        <v>2.4</v>
      </c>
      <c r="D17" s="17">
        <v>1.7</v>
      </c>
      <c r="E17" s="17">
        <v>1.3</v>
      </c>
      <c r="F17" s="333" t="s">
        <v>119</v>
      </c>
      <c r="G17" s="334"/>
      <c r="H17" s="335"/>
      <c r="J17" s="47"/>
      <c r="K17" s="139"/>
      <c r="L17" s="140" t="s">
        <v>62</v>
      </c>
      <c r="M17" s="142">
        <f>MATCH(TargetFaA,FaAx,1)</f>
        <v>4</v>
      </c>
      <c r="N17" s="142" t="s">
        <v>62</v>
      </c>
      <c r="O17" s="142">
        <f>MATCH(TargetFaB,FaBx,1)</f>
        <v>4</v>
      </c>
      <c r="P17" s="142" t="s">
        <v>62</v>
      </c>
      <c r="Q17" s="142">
        <f>MATCH(TargetFaC,FaCx,1)</f>
        <v>4</v>
      </c>
      <c r="R17" s="142" t="s">
        <v>62</v>
      </c>
      <c r="S17" s="142">
        <f>MATCH(TargetFaD,FaDx,1)</f>
        <v>4</v>
      </c>
      <c r="T17" s="142" t="s">
        <v>62</v>
      </c>
      <c r="U17" s="142">
        <f>MATCH(TargetFaE,FaEx,1)</f>
        <v>4</v>
      </c>
      <c r="V17" s="137"/>
      <c r="W17" s="137"/>
      <c r="X17" s="137"/>
    </row>
    <row r="18" spans="1:24" ht="15" customHeight="1" x14ac:dyDescent="0.2">
      <c r="A18" s="48"/>
      <c r="B18" s="16" t="s">
        <v>60</v>
      </c>
      <c r="C18" s="324" t="s">
        <v>119</v>
      </c>
      <c r="D18" s="325"/>
      <c r="E18" s="325"/>
      <c r="F18" s="325"/>
      <c r="G18" s="325"/>
      <c r="H18" s="326"/>
      <c r="J18" s="47"/>
      <c r="K18" s="139"/>
      <c r="L18" s="140" t="s">
        <v>61</v>
      </c>
      <c r="M18" s="142">
        <f>0.8</f>
        <v>0.8</v>
      </c>
      <c r="N18" s="142" t="s">
        <v>61</v>
      </c>
      <c r="O18" s="142">
        <v>0.9</v>
      </c>
      <c r="P18" s="142" t="s">
        <v>61</v>
      </c>
      <c r="Q18" s="142">
        <f ca="1">FORECAST(TargetFaC,OFFSET(FaCy,MatchFaC-1,0,2,1),OFFSET(FaCx,MatchFaC-1,0,2,1))</f>
        <v>1.2</v>
      </c>
      <c r="R18" s="142" t="s">
        <v>61</v>
      </c>
      <c r="S18" s="142">
        <f ca="1">FORECAST(TargetFaD,OFFSET(FaDy,MatchFaD-1,0,2,1),OFFSET(FaDx,MatchFaD-1,0,2,1))</f>
        <v>1.1452</v>
      </c>
      <c r="T18" s="142" t="s">
        <v>61</v>
      </c>
      <c r="U18" s="142" t="e">
        <f ca="1">FORECAST(TargetFaE,OFFSET(FaEy,MatchFaE-1,0,2,1),OFFSET(FaEx,MatchFaE-1,0,2,1))</f>
        <v>#DIV/0!</v>
      </c>
      <c r="V18" s="137"/>
      <c r="W18" s="137"/>
      <c r="X18" s="137"/>
    </row>
    <row r="19" spans="1:24" ht="15" customHeight="1" x14ac:dyDescent="0.2">
      <c r="A19" s="48"/>
      <c r="B19" s="15" t="s">
        <v>76</v>
      </c>
      <c r="J19" s="47"/>
      <c r="K19" s="137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7"/>
      <c r="W19" s="137"/>
      <c r="X19" s="137"/>
    </row>
    <row r="20" spans="1:24" ht="15" customHeight="1" x14ac:dyDescent="0.2">
      <c r="A20" s="48"/>
      <c r="J20" s="4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</row>
    <row r="21" spans="1:24" ht="15" customHeight="1" x14ac:dyDescent="0.2">
      <c r="A21" s="48"/>
      <c r="B21" s="49" t="s">
        <v>65</v>
      </c>
      <c r="J21" s="47"/>
      <c r="K21" s="137"/>
      <c r="L21" s="138" t="s">
        <v>75</v>
      </c>
      <c r="M21" s="138" t="s">
        <v>74</v>
      </c>
      <c r="N21" s="138" t="s">
        <v>73</v>
      </c>
      <c r="O21" s="138" t="s">
        <v>72</v>
      </c>
      <c r="P21" s="138" t="s">
        <v>71</v>
      </c>
      <c r="Q21" s="138" t="s">
        <v>70</v>
      </c>
      <c r="R21" s="138" t="s">
        <v>69</v>
      </c>
      <c r="S21" s="138" t="s">
        <v>68</v>
      </c>
      <c r="T21" s="138" t="s">
        <v>67</v>
      </c>
      <c r="U21" s="138" t="s">
        <v>66</v>
      </c>
      <c r="V21" s="137"/>
      <c r="W21" s="137"/>
      <c r="X21" s="137"/>
    </row>
    <row r="22" spans="1:24" ht="15" customHeight="1" x14ac:dyDescent="0.2">
      <c r="A22" s="48"/>
      <c r="J22" s="47"/>
      <c r="K22" s="137"/>
      <c r="L22" s="138">
        <v>0</v>
      </c>
      <c r="M22" s="138">
        <v>0.8</v>
      </c>
      <c r="N22" s="138">
        <v>0</v>
      </c>
      <c r="O22" s="138">
        <v>0.8</v>
      </c>
      <c r="P22" s="138">
        <v>0</v>
      </c>
      <c r="Q22" s="138">
        <v>1.5</v>
      </c>
      <c r="R22" s="138">
        <v>0</v>
      </c>
      <c r="S22" s="138">
        <v>2.4</v>
      </c>
      <c r="T22" s="138">
        <v>0</v>
      </c>
      <c r="U22" s="138">
        <v>4.2</v>
      </c>
      <c r="V22" s="137"/>
      <c r="W22" s="137"/>
      <c r="X22" s="137"/>
    </row>
    <row r="23" spans="1:24" ht="15" customHeight="1" x14ac:dyDescent="0.3">
      <c r="A23" s="48"/>
      <c r="B23" s="20"/>
      <c r="C23" s="330" t="s">
        <v>78</v>
      </c>
      <c r="D23" s="331"/>
      <c r="E23" s="331"/>
      <c r="F23" s="331"/>
      <c r="G23" s="332"/>
      <c r="J23" s="47"/>
      <c r="K23" s="137"/>
      <c r="L23" s="138">
        <v>0.1</v>
      </c>
      <c r="M23" s="138">
        <v>0.8</v>
      </c>
      <c r="N23" s="138">
        <v>0.1</v>
      </c>
      <c r="O23" s="138">
        <v>0.8</v>
      </c>
      <c r="P23" s="138">
        <v>0.1</v>
      </c>
      <c r="Q23" s="138">
        <v>1.5</v>
      </c>
      <c r="R23" s="138">
        <v>0.1</v>
      </c>
      <c r="S23" s="138">
        <v>2.4</v>
      </c>
      <c r="T23" s="138">
        <v>0.1</v>
      </c>
      <c r="U23" s="138">
        <v>4.2</v>
      </c>
      <c r="V23" s="137"/>
      <c r="W23" s="137"/>
      <c r="X23" s="137"/>
    </row>
    <row r="24" spans="1:24" ht="15" customHeight="1" x14ac:dyDescent="0.2">
      <c r="A24" s="48"/>
      <c r="B24" s="19"/>
      <c r="C24" s="327" t="s">
        <v>80</v>
      </c>
      <c r="D24" s="328"/>
      <c r="E24" s="328"/>
      <c r="F24" s="328"/>
      <c r="G24" s="329"/>
      <c r="J24" s="47"/>
      <c r="K24" s="137"/>
      <c r="L24" s="138">
        <v>0.2</v>
      </c>
      <c r="M24" s="138">
        <v>0.8</v>
      </c>
      <c r="N24" s="138">
        <v>0.2</v>
      </c>
      <c r="O24" s="138">
        <v>0.8</v>
      </c>
      <c r="P24" s="138">
        <v>0.2</v>
      </c>
      <c r="Q24" s="138">
        <v>1.5</v>
      </c>
      <c r="R24" s="138">
        <v>0.2</v>
      </c>
      <c r="S24" s="138">
        <v>2.2000000000000002</v>
      </c>
      <c r="T24" s="138">
        <v>0.2</v>
      </c>
      <c r="U24" s="138"/>
      <c r="V24" s="137"/>
      <c r="W24" s="137"/>
      <c r="X24" s="137"/>
    </row>
    <row r="25" spans="1:24" ht="15" customHeight="1" x14ac:dyDescent="0.2">
      <c r="A25" s="48"/>
      <c r="B25" s="18" t="s">
        <v>64</v>
      </c>
      <c r="C25" s="61">
        <v>0.1</v>
      </c>
      <c r="D25" s="62">
        <v>0.2</v>
      </c>
      <c r="E25" s="62">
        <v>0.3</v>
      </c>
      <c r="F25" s="62">
        <v>0.4</v>
      </c>
      <c r="G25" s="62">
        <v>0.5</v>
      </c>
      <c r="H25" s="63">
        <v>0.6</v>
      </c>
      <c r="J25" s="47"/>
      <c r="K25" s="137"/>
      <c r="L25" s="138">
        <v>0.3</v>
      </c>
      <c r="M25" s="138">
        <v>0.8</v>
      </c>
      <c r="N25" s="138">
        <v>0.3</v>
      </c>
      <c r="O25" s="138">
        <v>0.8</v>
      </c>
      <c r="P25" s="138">
        <v>0.3</v>
      </c>
      <c r="Q25" s="138">
        <v>1.5</v>
      </c>
      <c r="R25" s="138">
        <v>0.3</v>
      </c>
      <c r="S25" s="138">
        <v>2</v>
      </c>
      <c r="T25" s="138">
        <v>0.3</v>
      </c>
      <c r="U25" s="138"/>
      <c r="V25" s="137"/>
      <c r="W25" s="137"/>
      <c r="X25" s="137"/>
    </row>
    <row r="26" spans="1:24" ht="15" customHeight="1" x14ac:dyDescent="0.2">
      <c r="A26" s="48"/>
      <c r="B26" s="16" t="s">
        <v>56</v>
      </c>
      <c r="C26" s="17">
        <v>0.8</v>
      </c>
      <c r="D26" s="17">
        <v>0.8</v>
      </c>
      <c r="E26" s="17">
        <v>0.8</v>
      </c>
      <c r="F26" s="17">
        <v>0.8</v>
      </c>
      <c r="G26" s="17">
        <v>0.8</v>
      </c>
      <c r="H26" s="17">
        <v>0.8</v>
      </c>
      <c r="J26" s="47"/>
      <c r="K26" s="139"/>
      <c r="L26" s="138">
        <v>0.4</v>
      </c>
      <c r="M26" s="138">
        <v>0.8</v>
      </c>
      <c r="N26" s="138">
        <v>0.4</v>
      </c>
      <c r="O26" s="138">
        <v>0.8</v>
      </c>
      <c r="P26" s="138">
        <v>0.4</v>
      </c>
      <c r="Q26" s="138">
        <v>1.5</v>
      </c>
      <c r="R26" s="138">
        <v>0.4</v>
      </c>
      <c r="S26" s="138">
        <v>1.9</v>
      </c>
      <c r="T26" s="138">
        <v>0.4</v>
      </c>
      <c r="U26" s="138"/>
      <c r="V26" s="137"/>
      <c r="W26" s="137"/>
      <c r="X26" s="137"/>
    </row>
    <row r="27" spans="1:24" ht="15" customHeight="1" x14ac:dyDescent="0.2">
      <c r="A27" s="48"/>
      <c r="B27" s="16" t="s">
        <v>55</v>
      </c>
      <c r="C27" s="17">
        <v>0.8</v>
      </c>
      <c r="D27" s="17">
        <v>0.8</v>
      </c>
      <c r="E27" s="17">
        <v>0.8</v>
      </c>
      <c r="F27" s="17">
        <v>0.8</v>
      </c>
      <c r="G27" s="17">
        <v>0.8</v>
      </c>
      <c r="H27" s="17">
        <v>0.8</v>
      </c>
      <c r="J27" s="47"/>
      <c r="K27" s="139"/>
      <c r="L27" s="138">
        <v>0.5</v>
      </c>
      <c r="M27" s="138">
        <v>0.8</v>
      </c>
      <c r="N27" s="138">
        <v>0.5</v>
      </c>
      <c r="O27" s="138">
        <v>0.8</v>
      </c>
      <c r="P27" s="138">
        <v>0.5</v>
      </c>
      <c r="Q27" s="138">
        <v>1.5</v>
      </c>
      <c r="R27" s="138">
        <v>0.5</v>
      </c>
      <c r="S27" s="138">
        <v>1.8</v>
      </c>
      <c r="T27" s="138">
        <v>0.5</v>
      </c>
      <c r="U27" s="138"/>
      <c r="V27" s="137"/>
      <c r="W27" s="137"/>
      <c r="X27" s="137"/>
    </row>
    <row r="28" spans="1:24" ht="15" customHeight="1" x14ac:dyDescent="0.2">
      <c r="A28" s="48"/>
      <c r="B28" s="16" t="s">
        <v>54</v>
      </c>
      <c r="C28" s="17">
        <v>1.5</v>
      </c>
      <c r="D28" s="17">
        <v>1.5</v>
      </c>
      <c r="E28" s="17">
        <v>1.5</v>
      </c>
      <c r="F28" s="17">
        <v>1.5</v>
      </c>
      <c r="G28" s="17">
        <v>1.5</v>
      </c>
      <c r="H28" s="17">
        <v>1.4</v>
      </c>
      <c r="J28" s="47"/>
      <c r="K28" s="139"/>
      <c r="L28" s="138">
        <v>0.6</v>
      </c>
      <c r="M28" s="138">
        <v>0.8</v>
      </c>
      <c r="N28" s="138">
        <v>0.6</v>
      </c>
      <c r="O28" s="138">
        <v>0.8</v>
      </c>
      <c r="P28" s="138">
        <v>0.6</v>
      </c>
      <c r="Q28" s="138">
        <v>1.4</v>
      </c>
      <c r="R28" s="138">
        <v>0.6</v>
      </c>
      <c r="S28" s="138">
        <v>1.7</v>
      </c>
      <c r="T28" s="138">
        <v>0.6</v>
      </c>
      <c r="U28" s="138"/>
      <c r="V28" s="137"/>
      <c r="W28" s="137"/>
      <c r="X28" s="137"/>
    </row>
    <row r="29" spans="1:24" ht="15" customHeight="1" x14ac:dyDescent="0.2">
      <c r="A29" s="48"/>
      <c r="B29" s="16" t="s">
        <v>1</v>
      </c>
      <c r="C29" s="17">
        <v>2.4</v>
      </c>
      <c r="D29" s="17">
        <v>2.2000000000000002</v>
      </c>
      <c r="E29" s="17">
        <v>2</v>
      </c>
      <c r="F29" s="17">
        <v>1.9</v>
      </c>
      <c r="G29" s="17">
        <v>1.8</v>
      </c>
      <c r="H29" s="17">
        <v>1.7</v>
      </c>
      <c r="J29" s="47"/>
      <c r="K29" s="137"/>
      <c r="L29" s="140" t="s">
        <v>63</v>
      </c>
      <c r="M29" s="141">
        <f>C37</f>
        <v>0.41</v>
      </c>
      <c r="N29" s="142" t="s">
        <v>63</v>
      </c>
      <c r="O29" s="141">
        <f>C37</f>
        <v>0.41</v>
      </c>
      <c r="P29" s="142" t="s">
        <v>63</v>
      </c>
      <c r="Q29" s="141">
        <f>C37</f>
        <v>0.41</v>
      </c>
      <c r="R29" s="142" t="s">
        <v>63</v>
      </c>
      <c r="S29" s="141">
        <f>C37</f>
        <v>0.41</v>
      </c>
      <c r="T29" s="142" t="s">
        <v>63</v>
      </c>
      <c r="U29" s="141">
        <f>C37</f>
        <v>0.41</v>
      </c>
      <c r="V29" s="137"/>
      <c r="W29" s="137"/>
      <c r="X29" s="137"/>
    </row>
    <row r="30" spans="1:24" ht="15" customHeight="1" x14ac:dyDescent="0.2">
      <c r="A30" s="48"/>
      <c r="B30" s="16" t="s">
        <v>51</v>
      </c>
      <c r="C30" s="17">
        <v>4.2</v>
      </c>
      <c r="D30" s="321" t="s">
        <v>119</v>
      </c>
      <c r="E30" s="322"/>
      <c r="F30" s="322"/>
      <c r="G30" s="322"/>
      <c r="H30" s="323"/>
      <c r="J30" s="47"/>
      <c r="K30" s="137"/>
      <c r="L30" s="140" t="s">
        <v>62</v>
      </c>
      <c r="M30" s="142">
        <f>MATCH(TargetFvA,FvAx,1)</f>
        <v>5</v>
      </c>
      <c r="N30" s="142" t="s">
        <v>62</v>
      </c>
      <c r="O30" s="142">
        <f>MATCH(TargetFvB,FvBx,1)</f>
        <v>5</v>
      </c>
      <c r="P30" s="142" t="s">
        <v>62</v>
      </c>
      <c r="Q30" s="142">
        <f>MATCH(TargetFvC,FvCx,1)</f>
        <v>5</v>
      </c>
      <c r="R30" s="142" t="s">
        <v>62</v>
      </c>
      <c r="S30" s="142">
        <f>MATCH(TargetFvD,FvDx,1)</f>
        <v>5</v>
      </c>
      <c r="T30" s="142" t="s">
        <v>62</v>
      </c>
      <c r="U30" s="142">
        <f>MATCH(TargetFvE,FvEx,1)</f>
        <v>5</v>
      </c>
      <c r="V30" s="137"/>
      <c r="W30" s="137"/>
      <c r="X30" s="137"/>
    </row>
    <row r="31" spans="1:24" ht="15" customHeight="1" x14ac:dyDescent="0.2">
      <c r="A31" s="48"/>
      <c r="B31" s="16" t="s">
        <v>60</v>
      </c>
      <c r="C31" s="324" t="s">
        <v>119</v>
      </c>
      <c r="D31" s="325"/>
      <c r="E31" s="325"/>
      <c r="F31" s="325"/>
      <c r="G31" s="325"/>
      <c r="H31" s="326"/>
      <c r="J31" s="47"/>
      <c r="K31" s="137"/>
      <c r="L31" s="140" t="s">
        <v>61</v>
      </c>
      <c r="M31" s="142">
        <f>0.8</f>
        <v>0.8</v>
      </c>
      <c r="N31" s="142" t="s">
        <v>61</v>
      </c>
      <c r="O31" s="142">
        <v>0.8</v>
      </c>
      <c r="P31" s="142" t="s">
        <v>61</v>
      </c>
      <c r="Q31" s="142">
        <f ca="1">FORECAST(TargetFvC,OFFSET(FvCy,MatchFvC-1,0,2,1),OFFSET(FvCx,MatchFvC-1,0,2,1))</f>
        <v>1.5</v>
      </c>
      <c r="R31" s="142" t="s">
        <v>61</v>
      </c>
      <c r="S31" s="142">
        <f ca="1">FORECAST(TargetFvD,OFFSET(FvDy,MatchFvD-1,0,2,1),OFFSET(FvDx,MatchFvD-1,0,2,1))</f>
        <v>1.8900000000000001</v>
      </c>
      <c r="T31" s="142" t="s">
        <v>61</v>
      </c>
      <c r="U31" s="142" t="e">
        <f ca="1">FORECAST(TargetFvE,OFFSET(FvEy,MatchFvE-1,0,2,1),OFFSET(FvEx,MatchFvE-1,0,2,1))</f>
        <v>#DIV/0!</v>
      </c>
      <c r="V31" s="137"/>
      <c r="W31" s="137"/>
      <c r="X31" s="137"/>
    </row>
    <row r="32" spans="1:24" ht="15" customHeight="1" x14ac:dyDescent="0.3">
      <c r="A32" s="48"/>
      <c r="B32" s="15" t="s">
        <v>59</v>
      </c>
      <c r="J32" s="47"/>
      <c r="K32" s="137"/>
      <c r="L32" s="137"/>
      <c r="M32" s="137"/>
      <c r="N32" s="137"/>
      <c r="O32" s="138"/>
      <c r="P32" s="138"/>
      <c r="Q32" s="138"/>
      <c r="R32" s="138"/>
      <c r="S32" s="138"/>
      <c r="T32" s="138"/>
      <c r="U32" s="138"/>
      <c r="V32" s="137"/>
      <c r="W32" s="137"/>
      <c r="X32" s="137"/>
    </row>
    <row r="33" spans="1:24" ht="15" customHeight="1" x14ac:dyDescent="0.2">
      <c r="A33" s="48"/>
      <c r="J33" s="47"/>
      <c r="K33" s="137"/>
      <c r="L33" s="138"/>
      <c r="M33" s="138" t="s">
        <v>58</v>
      </c>
      <c r="N33" s="138" t="s">
        <v>57</v>
      </c>
      <c r="O33" s="138"/>
      <c r="P33" s="138"/>
      <c r="Q33" s="138"/>
      <c r="R33" s="138"/>
      <c r="S33" s="138"/>
      <c r="T33" s="138"/>
      <c r="U33" s="138"/>
      <c r="V33" s="137"/>
      <c r="W33" s="137"/>
      <c r="X33" s="137"/>
    </row>
    <row r="34" spans="1:24" ht="15" customHeight="1" x14ac:dyDescent="0.2">
      <c r="A34" s="48"/>
      <c r="B34" s="50" t="s">
        <v>53</v>
      </c>
      <c r="C34" s="65" t="str">
        <f>'Site Ground Motions'!C8</f>
        <v>D</v>
      </c>
      <c r="J34" s="47"/>
      <c r="K34" s="137"/>
      <c r="L34" s="138" t="s">
        <v>56</v>
      </c>
      <c r="M34" s="138">
        <f>M18</f>
        <v>0.8</v>
      </c>
      <c r="N34" s="138">
        <f>M31</f>
        <v>0.8</v>
      </c>
      <c r="O34" s="138"/>
      <c r="P34" s="138"/>
      <c r="Q34" s="138"/>
      <c r="R34" s="138"/>
      <c r="S34" s="138"/>
      <c r="T34" s="138"/>
      <c r="U34" s="138"/>
      <c r="V34" s="137"/>
      <c r="W34" s="137"/>
      <c r="X34" s="137"/>
    </row>
    <row r="35" spans="1:24" ht="15" customHeight="1" x14ac:dyDescent="0.2">
      <c r="A35" s="48"/>
      <c r="C35" s="66"/>
      <c r="J35" s="47"/>
      <c r="K35" s="137"/>
      <c r="L35" s="138" t="s">
        <v>55</v>
      </c>
      <c r="M35" s="138">
        <f>O18</f>
        <v>0.9</v>
      </c>
      <c r="N35" s="138">
        <f>O31</f>
        <v>0.8</v>
      </c>
      <c r="O35" s="138"/>
      <c r="P35" s="138"/>
      <c r="Q35" s="138"/>
      <c r="R35" s="138"/>
      <c r="S35" s="138"/>
      <c r="T35" s="138"/>
      <c r="U35" s="138"/>
      <c r="V35" s="137"/>
      <c r="W35" s="137"/>
      <c r="X35" s="137"/>
    </row>
    <row r="36" spans="1:24" ht="15" customHeight="1" x14ac:dyDescent="0.3">
      <c r="A36" s="48"/>
      <c r="B36" s="51" t="s">
        <v>52</v>
      </c>
      <c r="C36" s="67">
        <f>'Site Ground Motions'!C12</f>
        <v>0.88700000000000001</v>
      </c>
      <c r="J36" s="47"/>
      <c r="K36" s="137"/>
      <c r="L36" s="138" t="s">
        <v>54</v>
      </c>
      <c r="M36" s="138">
        <f ca="1">Q18</f>
        <v>1.2</v>
      </c>
      <c r="N36" s="138">
        <f ca="1">Q31</f>
        <v>1.5</v>
      </c>
      <c r="O36" s="138"/>
      <c r="P36" s="138"/>
      <c r="Q36" s="138"/>
      <c r="R36" s="138"/>
      <c r="S36" s="138"/>
      <c r="T36" s="138"/>
      <c r="U36" s="138"/>
      <c r="V36" s="137"/>
      <c r="W36" s="137"/>
      <c r="X36" s="137"/>
    </row>
    <row r="37" spans="1:24" ht="15" customHeight="1" x14ac:dyDescent="0.3">
      <c r="A37" s="48"/>
      <c r="B37" s="51" t="s">
        <v>50</v>
      </c>
      <c r="C37" s="67">
        <f>'Site Ground Motions'!C13</f>
        <v>0.41</v>
      </c>
      <c r="J37" s="47"/>
      <c r="K37" s="137"/>
      <c r="L37" s="138" t="s">
        <v>1</v>
      </c>
      <c r="M37" s="138">
        <f ca="1">S18</f>
        <v>1.1452</v>
      </c>
      <c r="N37" s="138">
        <f ca="1">S31</f>
        <v>1.8900000000000001</v>
      </c>
      <c r="O37" s="138"/>
      <c r="P37" s="138"/>
      <c r="Q37" s="138"/>
      <c r="R37" s="138"/>
      <c r="S37" s="138"/>
      <c r="T37" s="138"/>
      <c r="U37" s="138"/>
      <c r="V37" s="137"/>
      <c r="W37" s="137"/>
      <c r="X37" s="137"/>
    </row>
    <row r="38" spans="1:24" ht="15" customHeight="1" x14ac:dyDescent="0.2">
      <c r="A38" s="48"/>
      <c r="J38" s="47"/>
      <c r="K38" s="137"/>
      <c r="L38" s="138" t="s">
        <v>51</v>
      </c>
      <c r="M38" s="138" t="e">
        <f ca="1">U18</f>
        <v>#DIV/0!</v>
      </c>
      <c r="N38" s="138" t="e">
        <f ca="1">U31</f>
        <v>#DIV/0!</v>
      </c>
      <c r="O38" s="138"/>
      <c r="P38" s="138"/>
      <c r="Q38" s="138"/>
      <c r="R38" s="138"/>
      <c r="S38" s="138"/>
      <c r="T38" s="138"/>
      <c r="U38" s="138"/>
      <c r="V38" s="137"/>
      <c r="W38" s="137"/>
      <c r="X38" s="137"/>
    </row>
    <row r="39" spans="1:24" ht="15" customHeight="1" x14ac:dyDescent="0.2">
      <c r="A39" s="48"/>
      <c r="B39" s="52" t="s">
        <v>49</v>
      </c>
      <c r="C39" s="64">
        <f ca="1">IFERROR(VLOOKUP(C34,L34:N38,2, FALSE),"Correct the Site Class or Do Site Specific for Site Class D/E/F")</f>
        <v>1.1452</v>
      </c>
      <c r="J39" s="47"/>
      <c r="K39" s="137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7"/>
      <c r="W39" s="137"/>
      <c r="X39" s="137"/>
    </row>
    <row r="40" spans="1:24" ht="15" customHeight="1" x14ac:dyDescent="0.2">
      <c r="A40" s="48"/>
      <c r="B40" s="52" t="s">
        <v>48</v>
      </c>
      <c r="C40" s="64">
        <f ca="1">IFERROR(VLOOKUP(C34,L34:N38,3, FALSE), "Correct the Site Class or Do Site Specific for Site Class D/E/F")</f>
        <v>1.8900000000000001</v>
      </c>
      <c r="J40" s="47"/>
      <c r="K40" s="137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7"/>
      <c r="W40" s="137"/>
      <c r="X40" s="137"/>
    </row>
    <row r="41" spans="1:24" ht="15" customHeight="1" x14ac:dyDescent="0.2">
      <c r="A41" s="48"/>
      <c r="D41" s="53"/>
      <c r="J41" s="47"/>
      <c r="K41" s="137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7"/>
      <c r="W41" s="137"/>
      <c r="X41" s="137"/>
    </row>
    <row r="42" spans="1:24" ht="15" customHeight="1" x14ac:dyDescent="0.2">
      <c r="A42" s="54"/>
      <c r="B42" s="55"/>
      <c r="C42" s="55"/>
      <c r="D42" s="56"/>
      <c r="E42" s="55"/>
      <c r="F42" s="55"/>
      <c r="G42" s="55"/>
      <c r="H42" s="55"/>
      <c r="I42" s="55"/>
      <c r="J42" s="57"/>
      <c r="K42" s="137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7"/>
      <c r="W42" s="137"/>
      <c r="X42" s="137"/>
    </row>
    <row r="43" spans="1:24" ht="15" customHeight="1" x14ac:dyDescent="0.2">
      <c r="A43" s="135"/>
      <c r="B43" s="135"/>
      <c r="C43" s="135"/>
      <c r="D43" s="143"/>
      <c r="E43" s="135"/>
      <c r="F43" s="135"/>
      <c r="G43" s="135"/>
      <c r="H43" s="135"/>
      <c r="I43" s="135"/>
      <c r="J43" s="135"/>
      <c r="K43" s="137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7"/>
      <c r="W43" s="137"/>
      <c r="X43" s="137"/>
    </row>
    <row r="44" spans="1:24" ht="15" customHeight="1" x14ac:dyDescent="0.2">
      <c r="A44" s="135"/>
      <c r="B44" s="135"/>
      <c r="C44" s="135"/>
      <c r="D44" s="144"/>
      <c r="E44" s="136"/>
      <c r="F44" s="135"/>
      <c r="G44" s="135"/>
      <c r="H44" s="135"/>
      <c r="I44" s="135"/>
      <c r="J44" s="135"/>
      <c r="K44" s="137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7"/>
      <c r="W44" s="137"/>
      <c r="X44" s="137"/>
    </row>
    <row r="45" spans="1:24" ht="15" customHeight="1" x14ac:dyDescent="0.2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7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7"/>
      <c r="W45" s="137"/>
      <c r="X45" s="137"/>
    </row>
    <row r="46" spans="1:24" ht="15" customHeight="1" x14ac:dyDescent="0.2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7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7"/>
      <c r="W46" s="137"/>
      <c r="X46" s="137"/>
    </row>
    <row r="47" spans="1:24" ht="15" customHeight="1" x14ac:dyDescent="0.2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7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7"/>
      <c r="W47" s="137"/>
      <c r="X47" s="137"/>
    </row>
    <row r="48" spans="1:24" ht="15" customHeight="1" x14ac:dyDescent="0.2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7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7"/>
      <c r="W48" s="137"/>
      <c r="X48" s="137"/>
    </row>
    <row r="49" spans="1:24" ht="15" customHeight="1" x14ac:dyDescent="0.2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7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7"/>
      <c r="W49" s="137"/>
      <c r="X49" s="137"/>
    </row>
    <row r="50" spans="1:24" ht="15" customHeight="1" x14ac:dyDescent="0.2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7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7"/>
      <c r="W50" s="137"/>
      <c r="X50" s="137"/>
    </row>
    <row r="51" spans="1:24" x14ac:dyDescent="0.2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7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7"/>
      <c r="W51" s="137"/>
      <c r="X51" s="137"/>
    </row>
    <row r="52" spans="1:24" x14ac:dyDescent="0.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7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7"/>
      <c r="W52" s="137"/>
      <c r="X52" s="137"/>
    </row>
    <row r="53" spans="1:24" x14ac:dyDescent="0.2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7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7"/>
      <c r="W53" s="137"/>
      <c r="X53" s="137"/>
    </row>
    <row r="54" spans="1:24" x14ac:dyDescent="0.2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7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7"/>
      <c r="W54" s="137"/>
      <c r="X54" s="137"/>
    </row>
    <row r="55" spans="1:24" x14ac:dyDescent="0.2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7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7"/>
      <c r="W55" s="137"/>
      <c r="X55" s="137"/>
    </row>
    <row r="56" spans="1:24" x14ac:dyDescent="0.2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7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7"/>
      <c r="W56" s="137"/>
      <c r="X56" s="137"/>
    </row>
    <row r="57" spans="1:24" x14ac:dyDescent="0.2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7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7"/>
      <c r="W57" s="137"/>
      <c r="X57" s="137"/>
    </row>
    <row r="58" spans="1:24" s="135" customFormat="1" x14ac:dyDescent="0.2">
      <c r="L58" s="136"/>
      <c r="M58" s="136"/>
      <c r="N58" s="136"/>
      <c r="O58" s="136"/>
      <c r="P58" s="136"/>
      <c r="Q58" s="136"/>
      <c r="R58" s="136"/>
      <c r="S58" s="136"/>
      <c r="T58" s="136"/>
      <c r="U58" s="136"/>
    </row>
    <row r="59" spans="1:24" s="135" customFormat="1" x14ac:dyDescent="0.2">
      <c r="L59" s="136"/>
      <c r="M59" s="136"/>
      <c r="N59" s="136"/>
      <c r="O59" s="136"/>
      <c r="P59" s="136"/>
      <c r="Q59" s="136"/>
      <c r="R59" s="136"/>
      <c r="S59" s="136"/>
      <c r="T59" s="136"/>
      <c r="U59" s="136"/>
    </row>
    <row r="60" spans="1:24" s="135" customFormat="1" x14ac:dyDescent="0.2">
      <c r="L60" s="136"/>
      <c r="M60" s="136"/>
      <c r="N60" s="136"/>
      <c r="O60" s="136"/>
      <c r="P60" s="136"/>
      <c r="Q60" s="136"/>
      <c r="R60" s="136"/>
      <c r="S60" s="136"/>
      <c r="T60" s="136"/>
      <c r="U60" s="136"/>
    </row>
    <row r="61" spans="1:24" s="135" customFormat="1" x14ac:dyDescent="0.2">
      <c r="L61" s="136"/>
      <c r="M61" s="136"/>
      <c r="N61" s="136"/>
      <c r="O61" s="136"/>
      <c r="P61" s="136"/>
      <c r="Q61" s="136"/>
      <c r="R61" s="136"/>
      <c r="S61" s="136"/>
      <c r="T61" s="136"/>
      <c r="U61" s="136"/>
    </row>
    <row r="62" spans="1:24" s="135" customFormat="1" x14ac:dyDescent="0.2">
      <c r="L62" s="136"/>
      <c r="M62" s="136"/>
      <c r="N62" s="136"/>
      <c r="O62" s="136"/>
      <c r="P62" s="136"/>
      <c r="Q62" s="136"/>
      <c r="R62" s="136"/>
      <c r="S62" s="136"/>
      <c r="T62" s="136"/>
      <c r="U62" s="136"/>
    </row>
    <row r="63" spans="1:24" s="135" customFormat="1" x14ac:dyDescent="0.2">
      <c r="L63" s="136"/>
      <c r="M63" s="136"/>
      <c r="N63" s="136"/>
      <c r="O63" s="136"/>
      <c r="P63" s="136"/>
      <c r="Q63" s="136"/>
      <c r="R63" s="136"/>
      <c r="S63" s="136"/>
      <c r="T63" s="136"/>
      <c r="U63" s="136"/>
    </row>
    <row r="64" spans="1:24" s="135" customFormat="1" x14ac:dyDescent="0.2">
      <c r="L64" s="136"/>
      <c r="M64" s="136"/>
      <c r="N64" s="136"/>
      <c r="O64" s="136"/>
      <c r="P64" s="136"/>
      <c r="Q64" s="136"/>
      <c r="R64" s="136"/>
      <c r="S64" s="136"/>
      <c r="T64" s="136"/>
      <c r="U64" s="136"/>
    </row>
    <row r="65" spans="12:21" s="135" customFormat="1" x14ac:dyDescent="0.2">
      <c r="L65" s="136"/>
      <c r="M65" s="136"/>
      <c r="N65" s="136"/>
      <c r="O65" s="136"/>
      <c r="P65" s="136"/>
      <c r="Q65" s="136"/>
      <c r="R65" s="136"/>
      <c r="S65" s="136"/>
      <c r="T65" s="136"/>
      <c r="U65" s="136"/>
    </row>
    <row r="66" spans="12:21" s="135" customFormat="1" x14ac:dyDescent="0.2">
      <c r="L66" s="136"/>
      <c r="M66" s="136"/>
      <c r="N66" s="136"/>
      <c r="O66" s="136"/>
      <c r="P66" s="136"/>
      <c r="Q66" s="136"/>
      <c r="R66" s="136"/>
      <c r="S66" s="136"/>
      <c r="T66" s="136"/>
      <c r="U66" s="136"/>
    </row>
    <row r="67" spans="12:21" s="135" customFormat="1" x14ac:dyDescent="0.2">
      <c r="L67" s="136"/>
      <c r="M67" s="136"/>
      <c r="N67" s="136"/>
      <c r="O67" s="136"/>
      <c r="P67" s="136"/>
      <c r="Q67" s="136"/>
      <c r="R67" s="136"/>
      <c r="S67" s="136"/>
      <c r="T67" s="136"/>
      <c r="U67" s="136"/>
    </row>
    <row r="68" spans="12:21" s="135" customFormat="1" x14ac:dyDescent="0.2">
      <c r="L68" s="136"/>
      <c r="M68" s="136"/>
      <c r="N68" s="136"/>
      <c r="O68" s="136"/>
      <c r="P68" s="136"/>
      <c r="Q68" s="136"/>
      <c r="R68" s="136"/>
      <c r="S68" s="136"/>
      <c r="T68" s="136"/>
      <c r="U68" s="136"/>
    </row>
    <row r="69" spans="12:21" s="135" customFormat="1" x14ac:dyDescent="0.2">
      <c r="L69" s="136"/>
      <c r="M69" s="136"/>
      <c r="N69" s="136"/>
      <c r="O69" s="136"/>
      <c r="P69" s="136"/>
      <c r="Q69" s="136"/>
      <c r="R69" s="136"/>
      <c r="S69" s="136"/>
      <c r="T69" s="136"/>
      <c r="U69" s="136"/>
    </row>
    <row r="70" spans="12:21" s="135" customFormat="1" x14ac:dyDescent="0.2">
      <c r="L70" s="136"/>
      <c r="M70" s="136"/>
      <c r="N70" s="136"/>
      <c r="O70" s="136"/>
      <c r="P70" s="136"/>
      <c r="Q70" s="136"/>
      <c r="R70" s="136"/>
      <c r="S70" s="136"/>
      <c r="T70" s="136"/>
      <c r="U70" s="136"/>
    </row>
    <row r="71" spans="12:21" s="135" customFormat="1" x14ac:dyDescent="0.2">
      <c r="L71" s="136"/>
      <c r="M71" s="136"/>
      <c r="N71" s="136"/>
      <c r="O71" s="136"/>
      <c r="P71" s="136"/>
      <c r="Q71" s="136"/>
      <c r="R71" s="136"/>
      <c r="S71" s="136"/>
      <c r="T71" s="136"/>
      <c r="U71" s="136"/>
    </row>
    <row r="72" spans="12:21" s="135" customFormat="1" x14ac:dyDescent="0.2">
      <c r="L72" s="136"/>
      <c r="M72" s="136"/>
      <c r="N72" s="136"/>
      <c r="O72" s="136"/>
      <c r="P72" s="136"/>
      <c r="Q72" s="136"/>
      <c r="R72" s="136"/>
      <c r="S72" s="136"/>
      <c r="T72" s="136"/>
      <c r="U72" s="136"/>
    </row>
    <row r="73" spans="12:21" s="135" customFormat="1" x14ac:dyDescent="0.2">
      <c r="L73" s="136"/>
      <c r="M73" s="136"/>
      <c r="N73" s="136"/>
      <c r="O73" s="136"/>
      <c r="P73" s="136"/>
      <c r="Q73" s="136"/>
      <c r="R73" s="136"/>
      <c r="S73" s="136"/>
      <c r="T73" s="136"/>
      <c r="U73" s="136"/>
    </row>
    <row r="74" spans="12:21" s="135" customFormat="1" x14ac:dyDescent="0.2">
      <c r="L74" s="136"/>
      <c r="M74" s="136"/>
      <c r="N74" s="136"/>
      <c r="O74" s="136"/>
      <c r="P74" s="136"/>
      <c r="Q74" s="136"/>
      <c r="R74" s="136"/>
      <c r="S74" s="136"/>
      <c r="T74" s="136"/>
      <c r="U74" s="136"/>
    </row>
    <row r="75" spans="12:21" s="135" customFormat="1" x14ac:dyDescent="0.2">
      <c r="L75" s="136"/>
      <c r="M75" s="136"/>
      <c r="N75" s="136"/>
      <c r="O75" s="136"/>
      <c r="P75" s="136"/>
      <c r="Q75" s="136"/>
      <c r="R75" s="136"/>
      <c r="S75" s="136"/>
      <c r="T75" s="136"/>
      <c r="U75" s="136"/>
    </row>
    <row r="76" spans="12:21" s="135" customFormat="1" x14ac:dyDescent="0.2">
      <c r="L76" s="136"/>
      <c r="M76" s="136"/>
      <c r="N76" s="136"/>
      <c r="O76" s="136"/>
      <c r="P76" s="136"/>
      <c r="Q76" s="136"/>
      <c r="R76" s="136"/>
      <c r="S76" s="136"/>
      <c r="T76" s="136"/>
      <c r="U76" s="136"/>
    </row>
    <row r="77" spans="12:21" s="135" customFormat="1" x14ac:dyDescent="0.2">
      <c r="L77" s="136"/>
      <c r="M77" s="136"/>
      <c r="N77" s="136"/>
      <c r="O77" s="136"/>
      <c r="P77" s="136"/>
      <c r="Q77" s="136"/>
      <c r="R77" s="136"/>
      <c r="S77" s="136"/>
      <c r="T77" s="136"/>
      <c r="U77" s="136"/>
    </row>
    <row r="78" spans="12:21" s="135" customFormat="1" x14ac:dyDescent="0.2">
      <c r="L78" s="136"/>
      <c r="M78" s="136"/>
      <c r="N78" s="136"/>
      <c r="O78" s="136"/>
      <c r="P78" s="136"/>
      <c r="Q78" s="136"/>
      <c r="R78" s="136"/>
      <c r="S78" s="136"/>
      <c r="T78" s="136"/>
      <c r="U78" s="136"/>
    </row>
    <row r="79" spans="12:21" s="135" customFormat="1" x14ac:dyDescent="0.2">
      <c r="L79" s="136"/>
      <c r="M79" s="136"/>
      <c r="N79" s="136"/>
      <c r="O79" s="136"/>
      <c r="P79" s="136"/>
      <c r="Q79" s="136"/>
      <c r="R79" s="136"/>
      <c r="S79" s="136"/>
      <c r="T79" s="136"/>
      <c r="U79" s="136"/>
    </row>
    <row r="80" spans="12:21" s="135" customFormat="1" x14ac:dyDescent="0.2">
      <c r="L80" s="136"/>
      <c r="M80" s="136"/>
      <c r="N80" s="136"/>
      <c r="O80" s="136"/>
      <c r="P80" s="136"/>
      <c r="Q80" s="136"/>
      <c r="R80" s="136"/>
      <c r="S80" s="136"/>
      <c r="T80" s="136"/>
      <c r="U80" s="136"/>
    </row>
    <row r="81" spans="12:21" s="135" customFormat="1" x14ac:dyDescent="0.2">
      <c r="L81" s="136"/>
      <c r="M81" s="136"/>
      <c r="N81" s="136"/>
      <c r="O81" s="136"/>
      <c r="P81" s="136"/>
      <c r="Q81" s="136"/>
      <c r="R81" s="136"/>
      <c r="S81" s="136"/>
      <c r="T81" s="136"/>
      <c r="U81" s="136"/>
    </row>
    <row r="82" spans="12:21" s="135" customFormat="1" x14ac:dyDescent="0.2">
      <c r="L82" s="136"/>
      <c r="M82" s="136"/>
      <c r="N82" s="136"/>
      <c r="O82" s="136"/>
      <c r="P82" s="136"/>
      <c r="Q82" s="136"/>
      <c r="R82" s="136"/>
      <c r="S82" s="136"/>
      <c r="T82" s="136"/>
      <c r="U82" s="136"/>
    </row>
    <row r="83" spans="12:21" s="135" customFormat="1" x14ac:dyDescent="0.2">
      <c r="L83" s="136"/>
      <c r="M83" s="136"/>
      <c r="N83" s="136"/>
      <c r="O83" s="136"/>
      <c r="P83" s="136"/>
      <c r="Q83" s="136"/>
      <c r="R83" s="136"/>
      <c r="S83" s="136"/>
      <c r="T83" s="136"/>
      <c r="U83" s="136"/>
    </row>
    <row r="84" spans="12:21" s="135" customFormat="1" x14ac:dyDescent="0.2">
      <c r="L84" s="136"/>
      <c r="M84" s="136"/>
      <c r="N84" s="136"/>
      <c r="O84" s="136"/>
      <c r="P84" s="136"/>
      <c r="Q84" s="136"/>
      <c r="R84" s="136"/>
      <c r="S84" s="136"/>
      <c r="T84" s="136"/>
      <c r="U84" s="136"/>
    </row>
    <row r="85" spans="12:21" s="135" customFormat="1" x14ac:dyDescent="0.2">
      <c r="L85" s="136"/>
      <c r="M85" s="136"/>
      <c r="N85" s="136"/>
      <c r="O85" s="136"/>
      <c r="P85" s="136"/>
      <c r="Q85" s="136"/>
      <c r="R85" s="136"/>
      <c r="S85" s="136"/>
      <c r="T85" s="136"/>
      <c r="U85" s="136"/>
    </row>
    <row r="86" spans="12:21" s="135" customFormat="1" x14ac:dyDescent="0.2">
      <c r="L86" s="136"/>
      <c r="M86" s="136"/>
      <c r="N86" s="136"/>
      <c r="O86" s="136"/>
      <c r="P86" s="136"/>
      <c r="Q86" s="136"/>
      <c r="R86" s="136"/>
      <c r="S86" s="136"/>
      <c r="T86" s="136"/>
      <c r="U86" s="136"/>
    </row>
    <row r="87" spans="12:21" s="135" customFormat="1" x14ac:dyDescent="0.2">
      <c r="L87" s="136"/>
      <c r="M87" s="136"/>
      <c r="N87" s="136"/>
      <c r="O87" s="136"/>
      <c r="P87" s="136"/>
      <c r="Q87" s="136"/>
      <c r="R87" s="136"/>
      <c r="S87" s="136"/>
      <c r="T87" s="136"/>
      <c r="U87" s="136"/>
    </row>
    <row r="88" spans="12:21" s="135" customFormat="1" x14ac:dyDescent="0.2">
      <c r="L88" s="136"/>
      <c r="M88" s="136"/>
      <c r="N88" s="136"/>
      <c r="O88" s="136"/>
      <c r="P88" s="136"/>
      <c r="Q88" s="136"/>
      <c r="R88" s="136"/>
      <c r="S88" s="136"/>
      <c r="T88" s="136"/>
      <c r="U88" s="136"/>
    </row>
    <row r="89" spans="12:21" s="135" customFormat="1" x14ac:dyDescent="0.2">
      <c r="L89" s="136"/>
      <c r="M89" s="136"/>
      <c r="N89" s="136"/>
      <c r="O89" s="136"/>
      <c r="P89" s="136"/>
      <c r="Q89" s="136"/>
      <c r="R89" s="136"/>
      <c r="S89" s="136"/>
      <c r="T89" s="136"/>
      <c r="U89" s="136"/>
    </row>
    <row r="90" spans="12:21" s="135" customFormat="1" x14ac:dyDescent="0.2">
      <c r="L90" s="136"/>
      <c r="M90" s="136"/>
      <c r="N90" s="136"/>
      <c r="O90" s="136"/>
      <c r="P90" s="136"/>
      <c r="Q90" s="136"/>
      <c r="R90" s="136"/>
      <c r="S90" s="136"/>
      <c r="T90" s="136"/>
      <c r="U90" s="136"/>
    </row>
    <row r="91" spans="12:21" s="135" customFormat="1" x14ac:dyDescent="0.2">
      <c r="L91" s="136"/>
      <c r="M91" s="136"/>
      <c r="N91" s="136"/>
      <c r="O91" s="136"/>
      <c r="P91" s="136"/>
      <c r="Q91" s="136"/>
      <c r="R91" s="136"/>
      <c r="S91" s="136"/>
      <c r="T91" s="136"/>
      <c r="U91" s="136"/>
    </row>
    <row r="92" spans="12:21" s="135" customFormat="1" x14ac:dyDescent="0.2">
      <c r="L92" s="136"/>
      <c r="M92" s="136"/>
      <c r="N92" s="136"/>
      <c r="O92" s="136"/>
      <c r="P92" s="136"/>
      <c r="Q92" s="136"/>
      <c r="R92" s="136"/>
      <c r="S92" s="136"/>
      <c r="T92" s="136"/>
      <c r="U92" s="136"/>
    </row>
    <row r="93" spans="12:21" s="135" customFormat="1" x14ac:dyDescent="0.2">
      <c r="L93" s="136"/>
      <c r="M93" s="136"/>
      <c r="N93" s="136"/>
      <c r="O93" s="136"/>
      <c r="P93" s="136"/>
      <c r="Q93" s="136"/>
      <c r="R93" s="136"/>
      <c r="S93" s="136"/>
      <c r="T93" s="136"/>
      <c r="U93" s="136"/>
    </row>
    <row r="94" spans="12:21" s="135" customFormat="1" x14ac:dyDescent="0.2">
      <c r="L94" s="136"/>
      <c r="M94" s="136"/>
      <c r="N94" s="136"/>
      <c r="O94" s="136"/>
      <c r="P94" s="136"/>
      <c r="Q94" s="136"/>
      <c r="R94" s="136"/>
      <c r="S94" s="136"/>
      <c r="T94" s="136"/>
      <c r="U94" s="136"/>
    </row>
    <row r="95" spans="12:21" s="135" customFormat="1" x14ac:dyDescent="0.2">
      <c r="L95" s="136"/>
      <c r="M95" s="136"/>
      <c r="N95" s="136"/>
      <c r="O95" s="136"/>
      <c r="P95" s="136"/>
      <c r="Q95" s="136"/>
      <c r="R95" s="136"/>
      <c r="S95" s="136"/>
      <c r="T95" s="136"/>
      <c r="U95" s="136"/>
    </row>
    <row r="96" spans="12:21" s="135" customFormat="1" x14ac:dyDescent="0.2">
      <c r="L96" s="136"/>
      <c r="M96" s="136"/>
      <c r="N96" s="136"/>
      <c r="O96" s="136"/>
      <c r="P96" s="136"/>
      <c r="Q96" s="136"/>
      <c r="R96" s="136"/>
      <c r="S96" s="136"/>
      <c r="T96" s="136"/>
      <c r="U96" s="136"/>
    </row>
    <row r="97" spans="12:21" s="135" customFormat="1" x14ac:dyDescent="0.2">
      <c r="L97" s="136"/>
      <c r="M97" s="136"/>
      <c r="N97" s="136"/>
      <c r="O97" s="136"/>
      <c r="P97" s="136"/>
      <c r="Q97" s="136"/>
      <c r="R97" s="136"/>
      <c r="S97" s="136"/>
      <c r="T97" s="136"/>
      <c r="U97" s="136"/>
    </row>
    <row r="98" spans="12:21" s="135" customFormat="1" x14ac:dyDescent="0.2">
      <c r="L98" s="136"/>
      <c r="M98" s="136"/>
      <c r="N98" s="136"/>
      <c r="O98" s="136"/>
      <c r="P98" s="136"/>
      <c r="Q98" s="136"/>
      <c r="R98" s="136"/>
      <c r="S98" s="136"/>
      <c r="T98" s="136"/>
      <c r="U98" s="136"/>
    </row>
    <row r="99" spans="12:21" s="135" customFormat="1" x14ac:dyDescent="0.2">
      <c r="L99" s="136"/>
      <c r="M99" s="136"/>
      <c r="N99" s="136"/>
      <c r="O99" s="136"/>
      <c r="P99" s="136"/>
      <c r="Q99" s="136"/>
      <c r="R99" s="136"/>
      <c r="S99" s="136"/>
      <c r="T99" s="136"/>
      <c r="U99" s="136"/>
    </row>
    <row r="100" spans="12:21" s="135" customFormat="1" x14ac:dyDescent="0.2"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</row>
    <row r="101" spans="12:21" s="135" customFormat="1" x14ac:dyDescent="0.2"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</row>
    <row r="102" spans="12:21" s="135" customFormat="1" x14ac:dyDescent="0.2"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</row>
    <row r="103" spans="12:21" s="135" customFormat="1" x14ac:dyDescent="0.2"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</row>
    <row r="104" spans="12:21" s="135" customFormat="1" x14ac:dyDescent="0.2"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</row>
    <row r="105" spans="12:21" s="135" customFormat="1" x14ac:dyDescent="0.2"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</row>
    <row r="106" spans="12:21" s="135" customFormat="1" x14ac:dyDescent="0.2"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</row>
    <row r="107" spans="12:21" s="135" customFormat="1" x14ac:dyDescent="0.2"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</row>
    <row r="108" spans="12:21" s="135" customFormat="1" x14ac:dyDescent="0.2"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</row>
    <row r="109" spans="12:21" s="135" customFormat="1" x14ac:dyDescent="0.2"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</row>
    <row r="110" spans="12:21" s="135" customFormat="1" x14ac:dyDescent="0.2"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</row>
    <row r="111" spans="12:21" s="135" customFormat="1" x14ac:dyDescent="0.2"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</row>
    <row r="112" spans="12:21" s="135" customFormat="1" x14ac:dyDescent="0.2"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</row>
    <row r="113" spans="12:21" s="135" customFormat="1" x14ac:dyDescent="0.2"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</row>
    <row r="114" spans="12:21" s="135" customFormat="1" x14ac:dyDescent="0.2"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</row>
    <row r="115" spans="12:21" s="135" customFormat="1" x14ac:dyDescent="0.2"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</row>
    <row r="116" spans="12:21" s="135" customFormat="1" x14ac:dyDescent="0.2"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</row>
    <row r="117" spans="12:21" s="135" customFormat="1" x14ac:dyDescent="0.2"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</row>
    <row r="118" spans="12:21" s="135" customFormat="1" x14ac:dyDescent="0.2"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</row>
    <row r="119" spans="12:21" s="135" customFormat="1" x14ac:dyDescent="0.2"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</row>
    <row r="120" spans="12:21" s="135" customFormat="1" x14ac:dyDescent="0.2"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</row>
    <row r="121" spans="12:21" s="135" customFormat="1" x14ac:dyDescent="0.2"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</row>
    <row r="122" spans="12:21" s="135" customFormat="1" x14ac:dyDescent="0.2"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</row>
    <row r="123" spans="12:21" s="135" customFormat="1" x14ac:dyDescent="0.2"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</row>
    <row r="124" spans="12:21" s="135" customFormat="1" x14ac:dyDescent="0.2"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</row>
    <row r="125" spans="12:21" s="135" customFormat="1" x14ac:dyDescent="0.2"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</row>
    <row r="126" spans="12:21" s="135" customFormat="1" x14ac:dyDescent="0.2"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</row>
    <row r="127" spans="12:21" s="135" customFormat="1" x14ac:dyDescent="0.2"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</row>
    <row r="128" spans="12:21" s="135" customFormat="1" x14ac:dyDescent="0.2"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</row>
    <row r="129" spans="12:21" s="135" customFormat="1" x14ac:dyDescent="0.2"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</row>
    <row r="130" spans="12:21" s="135" customFormat="1" x14ac:dyDescent="0.2"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</row>
    <row r="131" spans="12:21" s="135" customFormat="1" x14ac:dyDescent="0.2"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</row>
    <row r="132" spans="12:21" s="135" customFormat="1" x14ac:dyDescent="0.2"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</row>
    <row r="133" spans="12:21" s="135" customFormat="1" x14ac:dyDescent="0.2"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</row>
    <row r="134" spans="12:21" s="135" customFormat="1" x14ac:dyDescent="0.2"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</row>
    <row r="135" spans="12:21" s="135" customFormat="1" x14ac:dyDescent="0.2"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</row>
    <row r="136" spans="12:21" s="135" customFormat="1" x14ac:dyDescent="0.2"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</row>
    <row r="137" spans="12:21" s="135" customFormat="1" x14ac:dyDescent="0.2"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</row>
    <row r="138" spans="12:21" s="135" customFormat="1" x14ac:dyDescent="0.2"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</row>
    <row r="139" spans="12:21" s="135" customFormat="1" x14ac:dyDescent="0.2"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</row>
    <row r="140" spans="12:21" s="135" customFormat="1" x14ac:dyDescent="0.2"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</row>
    <row r="141" spans="12:21" s="135" customFormat="1" x14ac:dyDescent="0.2"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</row>
    <row r="142" spans="12:21" s="135" customFormat="1" x14ac:dyDescent="0.2"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</row>
    <row r="143" spans="12:21" s="135" customFormat="1" x14ac:dyDescent="0.2"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</row>
    <row r="144" spans="12:21" s="135" customFormat="1" x14ac:dyDescent="0.2"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</row>
    <row r="145" spans="12:21" s="135" customFormat="1" x14ac:dyDescent="0.2"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</row>
    <row r="146" spans="12:21" s="135" customFormat="1" x14ac:dyDescent="0.2"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</row>
    <row r="147" spans="12:21" s="135" customFormat="1" x14ac:dyDescent="0.2"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</row>
    <row r="148" spans="12:21" s="135" customFormat="1" x14ac:dyDescent="0.2"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</row>
    <row r="149" spans="12:21" s="135" customFormat="1" x14ac:dyDescent="0.2"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</row>
    <row r="150" spans="12:21" s="135" customFormat="1" x14ac:dyDescent="0.2"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</row>
    <row r="151" spans="12:21" s="135" customFormat="1" x14ac:dyDescent="0.2"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</row>
    <row r="152" spans="12:21" s="135" customFormat="1" x14ac:dyDescent="0.2"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</row>
    <row r="153" spans="12:21" s="135" customFormat="1" x14ac:dyDescent="0.2"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</row>
    <row r="154" spans="12:21" s="135" customFormat="1" x14ac:dyDescent="0.2"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</row>
    <row r="155" spans="12:21" s="135" customFormat="1" x14ac:dyDescent="0.2"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</row>
    <row r="156" spans="12:21" s="135" customFormat="1" x14ac:dyDescent="0.2"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</row>
    <row r="157" spans="12:21" s="135" customFormat="1" x14ac:dyDescent="0.2"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</row>
    <row r="158" spans="12:21" s="135" customFormat="1" x14ac:dyDescent="0.2"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</row>
    <row r="159" spans="12:21" s="135" customFormat="1" x14ac:dyDescent="0.2"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</row>
    <row r="160" spans="12:21" s="135" customFormat="1" x14ac:dyDescent="0.2"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</row>
    <row r="161" spans="12:21" s="135" customFormat="1" x14ac:dyDescent="0.2"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</row>
    <row r="162" spans="12:21" s="135" customFormat="1" x14ac:dyDescent="0.2"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</row>
    <row r="163" spans="12:21" s="135" customFormat="1" x14ac:dyDescent="0.2"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</row>
    <row r="164" spans="12:21" s="135" customFormat="1" x14ac:dyDescent="0.2"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</row>
    <row r="165" spans="12:21" s="135" customFormat="1" x14ac:dyDescent="0.2"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</row>
    <row r="166" spans="12:21" s="135" customFormat="1" x14ac:dyDescent="0.2"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</row>
    <row r="167" spans="12:21" s="135" customFormat="1" x14ac:dyDescent="0.2"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</row>
    <row r="168" spans="12:21" s="135" customFormat="1" x14ac:dyDescent="0.2"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</row>
    <row r="169" spans="12:21" s="135" customFormat="1" x14ac:dyDescent="0.2"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</row>
    <row r="170" spans="12:21" s="135" customFormat="1" x14ac:dyDescent="0.2"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</row>
    <row r="171" spans="12:21" s="135" customFormat="1" x14ac:dyDescent="0.2"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</row>
    <row r="172" spans="12:21" s="135" customFormat="1" x14ac:dyDescent="0.2"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</row>
    <row r="173" spans="12:21" s="135" customFormat="1" x14ac:dyDescent="0.2"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</row>
    <row r="174" spans="12:21" s="135" customFormat="1" x14ac:dyDescent="0.2"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</row>
    <row r="175" spans="12:21" s="135" customFormat="1" x14ac:dyDescent="0.2"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</row>
    <row r="176" spans="12:21" s="135" customFormat="1" x14ac:dyDescent="0.2"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</row>
    <row r="177" spans="12:21" s="135" customFormat="1" x14ac:dyDescent="0.2"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</row>
    <row r="178" spans="12:21" s="135" customFormat="1" x14ac:dyDescent="0.2"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</row>
    <row r="179" spans="12:21" s="135" customFormat="1" x14ac:dyDescent="0.2"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</row>
    <row r="180" spans="12:21" s="135" customFormat="1" x14ac:dyDescent="0.2"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</row>
    <row r="181" spans="12:21" s="135" customFormat="1" x14ac:dyDescent="0.2"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</row>
    <row r="182" spans="12:21" s="135" customFormat="1" x14ac:dyDescent="0.2"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</row>
    <row r="183" spans="12:21" s="135" customFormat="1" x14ac:dyDescent="0.2"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</row>
    <row r="184" spans="12:21" s="135" customFormat="1" x14ac:dyDescent="0.2"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</row>
    <row r="185" spans="12:21" s="135" customFormat="1" x14ac:dyDescent="0.2"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</row>
    <row r="186" spans="12:21" s="135" customFormat="1" x14ac:dyDescent="0.2"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</row>
    <row r="187" spans="12:21" s="135" customFormat="1" x14ac:dyDescent="0.2"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</row>
    <row r="188" spans="12:21" s="135" customFormat="1" x14ac:dyDescent="0.2"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</row>
    <row r="189" spans="12:21" s="135" customFormat="1" x14ac:dyDescent="0.2"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</row>
    <row r="190" spans="12:21" s="135" customFormat="1" x14ac:dyDescent="0.2"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</row>
    <row r="191" spans="12:21" s="135" customFormat="1" x14ac:dyDescent="0.2"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</row>
    <row r="192" spans="12:21" s="135" customFormat="1" x14ac:dyDescent="0.2"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</row>
    <row r="193" spans="12:21" s="135" customFormat="1" x14ac:dyDescent="0.2"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</row>
    <row r="194" spans="12:21" s="135" customFormat="1" x14ac:dyDescent="0.2"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</row>
    <row r="195" spans="12:21" s="135" customFormat="1" x14ac:dyDescent="0.2"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</row>
    <row r="196" spans="12:21" s="135" customFormat="1" x14ac:dyDescent="0.2"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</row>
    <row r="197" spans="12:21" s="135" customFormat="1" x14ac:dyDescent="0.2"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</row>
    <row r="198" spans="12:21" s="135" customFormat="1" x14ac:dyDescent="0.2"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</row>
    <row r="199" spans="12:21" s="135" customFormat="1" x14ac:dyDescent="0.2"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</row>
    <row r="200" spans="12:21" s="135" customFormat="1" x14ac:dyDescent="0.2"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</row>
    <row r="201" spans="12:21" s="135" customFormat="1" x14ac:dyDescent="0.2"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</row>
    <row r="202" spans="12:21" s="135" customFormat="1" x14ac:dyDescent="0.2"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</row>
    <row r="203" spans="12:21" s="135" customFormat="1" x14ac:dyDescent="0.2"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</row>
    <row r="204" spans="12:21" s="135" customFormat="1" x14ac:dyDescent="0.2"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</row>
    <row r="205" spans="12:21" s="135" customFormat="1" x14ac:dyDescent="0.2"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</row>
    <row r="206" spans="12:21" s="135" customFormat="1" x14ac:dyDescent="0.2"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</row>
    <row r="207" spans="12:21" s="135" customFormat="1" x14ac:dyDescent="0.2"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</row>
    <row r="208" spans="12:21" s="135" customFormat="1" x14ac:dyDescent="0.2"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</row>
    <row r="209" spans="12:21" s="135" customFormat="1" x14ac:dyDescent="0.2"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</row>
    <row r="210" spans="12:21" s="135" customFormat="1" x14ac:dyDescent="0.2"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</row>
    <row r="211" spans="12:21" s="135" customFormat="1" x14ac:dyDescent="0.2"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</row>
    <row r="212" spans="12:21" s="135" customFormat="1" x14ac:dyDescent="0.2"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</row>
    <row r="213" spans="12:21" s="135" customFormat="1" x14ac:dyDescent="0.2"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</row>
    <row r="214" spans="12:21" s="135" customFormat="1" x14ac:dyDescent="0.2"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</row>
    <row r="215" spans="12:21" s="135" customFormat="1" x14ac:dyDescent="0.2"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</row>
    <row r="216" spans="12:21" s="135" customFormat="1" x14ac:dyDescent="0.2"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</row>
    <row r="217" spans="12:21" s="135" customFormat="1" x14ac:dyDescent="0.2"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</row>
    <row r="218" spans="12:21" s="135" customFormat="1" x14ac:dyDescent="0.2"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</row>
    <row r="219" spans="12:21" s="135" customFormat="1" x14ac:dyDescent="0.2"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</row>
    <row r="220" spans="12:21" s="135" customFormat="1" x14ac:dyDescent="0.2"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</row>
    <row r="221" spans="12:21" s="135" customFormat="1" x14ac:dyDescent="0.2"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</row>
    <row r="222" spans="12:21" s="135" customFormat="1" x14ac:dyDescent="0.2"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</row>
    <row r="223" spans="12:21" s="135" customFormat="1" x14ac:dyDescent="0.2"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</row>
    <row r="224" spans="12:21" s="135" customFormat="1" x14ac:dyDescent="0.2"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</row>
    <row r="225" spans="12:21" s="135" customFormat="1" x14ac:dyDescent="0.2"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</row>
    <row r="226" spans="12:21" s="135" customFormat="1" x14ac:dyDescent="0.2"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</row>
    <row r="227" spans="12:21" s="135" customFormat="1" x14ac:dyDescent="0.2"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</row>
    <row r="228" spans="12:21" s="135" customFormat="1" x14ac:dyDescent="0.2"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</row>
    <row r="229" spans="12:21" s="135" customFormat="1" x14ac:dyDescent="0.2"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</row>
    <row r="230" spans="12:21" s="135" customFormat="1" x14ac:dyDescent="0.2"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</row>
    <row r="231" spans="12:21" s="135" customFormat="1" x14ac:dyDescent="0.2"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</row>
    <row r="232" spans="12:21" s="135" customFormat="1" x14ac:dyDescent="0.2"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</row>
    <row r="233" spans="12:21" s="135" customFormat="1" x14ac:dyDescent="0.2"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</row>
    <row r="234" spans="12:21" s="135" customFormat="1" x14ac:dyDescent="0.2"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</row>
    <row r="235" spans="12:21" s="135" customFormat="1" x14ac:dyDescent="0.2"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</row>
    <row r="236" spans="12:21" s="135" customFormat="1" x14ac:dyDescent="0.2"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</row>
    <row r="237" spans="12:21" s="135" customFormat="1" x14ac:dyDescent="0.2"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</row>
    <row r="238" spans="12:21" s="135" customFormat="1" x14ac:dyDescent="0.2"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</row>
    <row r="239" spans="12:21" s="135" customFormat="1" x14ac:dyDescent="0.2"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</row>
    <row r="240" spans="12:21" s="135" customFormat="1" x14ac:dyDescent="0.2"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</row>
    <row r="241" spans="12:21" s="135" customFormat="1" x14ac:dyDescent="0.2"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</row>
    <row r="242" spans="12:21" s="135" customFormat="1" x14ac:dyDescent="0.2"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</row>
    <row r="243" spans="12:21" s="135" customFormat="1" x14ac:dyDescent="0.2"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</row>
    <row r="244" spans="12:21" s="135" customFormat="1" x14ac:dyDescent="0.2"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</row>
    <row r="245" spans="12:21" s="135" customFormat="1" x14ac:dyDescent="0.2"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</row>
    <row r="246" spans="12:21" s="135" customFormat="1" x14ac:dyDescent="0.2"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</row>
    <row r="247" spans="12:21" s="135" customFormat="1" x14ac:dyDescent="0.2"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</row>
    <row r="248" spans="12:21" s="135" customFormat="1" x14ac:dyDescent="0.2"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</row>
    <row r="249" spans="12:21" s="135" customFormat="1" x14ac:dyDescent="0.2"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</row>
    <row r="250" spans="12:21" s="135" customFormat="1" x14ac:dyDescent="0.2"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</row>
    <row r="251" spans="12:21" s="135" customFormat="1" x14ac:dyDescent="0.2"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</row>
    <row r="252" spans="12:21" s="135" customFormat="1" x14ac:dyDescent="0.2"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</row>
    <row r="253" spans="12:21" s="135" customFormat="1" x14ac:dyDescent="0.2"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</row>
    <row r="254" spans="12:21" s="135" customFormat="1" x14ac:dyDescent="0.2"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</row>
    <row r="255" spans="12:21" s="135" customFormat="1" x14ac:dyDescent="0.2"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</row>
    <row r="256" spans="12:21" s="135" customFormat="1" x14ac:dyDescent="0.2"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</row>
    <row r="257" spans="12:21" s="135" customFormat="1" x14ac:dyDescent="0.2"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</row>
    <row r="258" spans="12:21" s="135" customFormat="1" x14ac:dyDescent="0.2"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</row>
    <row r="259" spans="12:21" s="135" customFormat="1" x14ac:dyDescent="0.2"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</row>
    <row r="260" spans="12:21" s="135" customFormat="1" x14ac:dyDescent="0.2"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</row>
    <row r="261" spans="12:21" s="135" customFormat="1" x14ac:dyDescent="0.2"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</row>
    <row r="262" spans="12:21" s="135" customFormat="1" x14ac:dyDescent="0.2"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</row>
    <row r="263" spans="12:21" s="135" customFormat="1" x14ac:dyDescent="0.2"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</row>
    <row r="264" spans="12:21" s="135" customFormat="1" x14ac:dyDescent="0.2"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</row>
    <row r="265" spans="12:21" s="135" customFormat="1" x14ac:dyDescent="0.2"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</row>
    <row r="266" spans="12:21" s="135" customFormat="1" x14ac:dyDescent="0.2"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</row>
    <row r="267" spans="12:21" s="135" customFormat="1" x14ac:dyDescent="0.2"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</row>
    <row r="268" spans="12:21" s="135" customFormat="1" x14ac:dyDescent="0.2"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</row>
    <row r="269" spans="12:21" s="135" customFormat="1" x14ac:dyDescent="0.2"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</row>
    <row r="270" spans="12:21" s="135" customFormat="1" x14ac:dyDescent="0.2"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</row>
    <row r="271" spans="12:21" s="135" customFormat="1" x14ac:dyDescent="0.2"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</row>
    <row r="272" spans="12:21" s="135" customFormat="1" x14ac:dyDescent="0.2"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</row>
    <row r="273" spans="12:21" s="135" customFormat="1" x14ac:dyDescent="0.2"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</row>
    <row r="274" spans="12:21" s="135" customFormat="1" x14ac:dyDescent="0.2"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</row>
    <row r="275" spans="12:21" s="135" customFormat="1" x14ac:dyDescent="0.2"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</row>
    <row r="276" spans="12:21" s="135" customFormat="1" x14ac:dyDescent="0.2"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</row>
    <row r="277" spans="12:21" s="135" customFormat="1" x14ac:dyDescent="0.2"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</row>
    <row r="278" spans="12:21" s="135" customFormat="1" x14ac:dyDescent="0.2"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</row>
    <row r="279" spans="12:21" s="135" customFormat="1" x14ac:dyDescent="0.2"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</row>
    <row r="280" spans="12:21" s="135" customFormat="1" x14ac:dyDescent="0.2"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</row>
    <row r="281" spans="12:21" s="135" customFormat="1" x14ac:dyDescent="0.2"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</row>
    <row r="282" spans="12:21" s="135" customFormat="1" x14ac:dyDescent="0.2"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</row>
    <row r="283" spans="12:21" s="135" customFormat="1" x14ac:dyDescent="0.2"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</row>
    <row r="284" spans="12:21" s="135" customFormat="1" x14ac:dyDescent="0.2"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</row>
    <row r="285" spans="12:21" s="135" customFormat="1" x14ac:dyDescent="0.2"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</row>
    <row r="286" spans="12:21" s="135" customFormat="1" x14ac:dyDescent="0.2"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</row>
    <row r="287" spans="12:21" s="135" customFormat="1" x14ac:dyDescent="0.2"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</row>
    <row r="288" spans="12:21" s="135" customFormat="1" x14ac:dyDescent="0.2"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</row>
    <row r="289" spans="12:21" s="135" customFormat="1" x14ac:dyDescent="0.2"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</row>
    <row r="290" spans="12:21" s="135" customFormat="1" x14ac:dyDescent="0.2"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</row>
    <row r="291" spans="12:21" s="135" customFormat="1" x14ac:dyDescent="0.2"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</row>
    <row r="292" spans="12:21" s="135" customFormat="1" x14ac:dyDescent="0.2"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</row>
    <row r="293" spans="12:21" s="135" customFormat="1" x14ac:dyDescent="0.2"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</row>
    <row r="294" spans="12:21" s="135" customFormat="1" x14ac:dyDescent="0.2"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</row>
    <row r="295" spans="12:21" s="135" customFormat="1" x14ac:dyDescent="0.2"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</row>
    <row r="296" spans="12:21" s="135" customFormat="1" x14ac:dyDescent="0.2"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</row>
    <row r="297" spans="12:21" s="135" customFormat="1" x14ac:dyDescent="0.2"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</row>
    <row r="298" spans="12:21" s="135" customFormat="1" x14ac:dyDescent="0.2"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</row>
    <row r="299" spans="12:21" s="135" customFormat="1" x14ac:dyDescent="0.2"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</row>
    <row r="300" spans="12:21" s="135" customFormat="1" x14ac:dyDescent="0.2"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</row>
    <row r="301" spans="12:21" s="135" customFormat="1" x14ac:dyDescent="0.2"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</row>
    <row r="302" spans="12:21" s="135" customFormat="1" x14ac:dyDescent="0.2"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</row>
    <row r="303" spans="12:21" s="135" customFormat="1" x14ac:dyDescent="0.2"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</row>
    <row r="304" spans="12:21" s="135" customFormat="1" x14ac:dyDescent="0.2"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</row>
    <row r="305" spans="12:21" s="135" customFormat="1" x14ac:dyDescent="0.2"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</row>
    <row r="306" spans="12:21" s="135" customFormat="1" x14ac:dyDescent="0.2"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</row>
    <row r="307" spans="12:21" s="135" customFormat="1" x14ac:dyDescent="0.2"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</row>
    <row r="308" spans="12:21" s="135" customFormat="1" x14ac:dyDescent="0.2"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</row>
    <row r="309" spans="12:21" s="135" customFormat="1" x14ac:dyDescent="0.2"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</row>
    <row r="310" spans="12:21" s="135" customFormat="1" x14ac:dyDescent="0.2"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</row>
    <row r="311" spans="12:21" s="135" customFormat="1" x14ac:dyDescent="0.2"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</row>
    <row r="312" spans="12:21" s="135" customFormat="1" x14ac:dyDescent="0.2"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</row>
    <row r="313" spans="12:21" s="135" customFormat="1" x14ac:dyDescent="0.2"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</row>
    <row r="314" spans="12:21" s="135" customFormat="1" x14ac:dyDescent="0.2"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</row>
    <row r="315" spans="12:21" s="135" customFormat="1" x14ac:dyDescent="0.2"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</row>
    <row r="316" spans="12:21" s="135" customFormat="1" x14ac:dyDescent="0.2"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</row>
    <row r="317" spans="12:21" s="135" customFormat="1" x14ac:dyDescent="0.2"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</row>
    <row r="318" spans="12:21" s="135" customFormat="1" x14ac:dyDescent="0.2"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</row>
    <row r="319" spans="12:21" s="135" customFormat="1" x14ac:dyDescent="0.2"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</row>
    <row r="320" spans="12:21" s="135" customFormat="1" x14ac:dyDescent="0.2"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</row>
    <row r="321" spans="12:21" s="135" customFormat="1" x14ac:dyDescent="0.2"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</row>
    <row r="322" spans="12:21" s="135" customFormat="1" x14ac:dyDescent="0.2"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</row>
    <row r="323" spans="12:21" s="135" customFormat="1" x14ac:dyDescent="0.2"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</row>
    <row r="324" spans="12:21" s="135" customFormat="1" x14ac:dyDescent="0.2"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</row>
    <row r="325" spans="12:21" s="135" customFormat="1" x14ac:dyDescent="0.2"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</row>
    <row r="326" spans="12:21" s="135" customFormat="1" x14ac:dyDescent="0.2"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</row>
    <row r="327" spans="12:21" s="135" customFormat="1" x14ac:dyDescent="0.2"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</row>
    <row r="328" spans="12:21" s="135" customFormat="1" x14ac:dyDescent="0.2"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</row>
    <row r="329" spans="12:21" s="135" customFormat="1" x14ac:dyDescent="0.2"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</row>
    <row r="330" spans="12:21" s="135" customFormat="1" x14ac:dyDescent="0.2"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</row>
    <row r="331" spans="12:21" s="135" customFormat="1" x14ac:dyDescent="0.2"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</row>
    <row r="332" spans="12:21" s="135" customFormat="1" x14ac:dyDescent="0.2"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</row>
    <row r="333" spans="12:21" s="135" customFormat="1" x14ac:dyDescent="0.2"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</row>
    <row r="334" spans="12:21" s="135" customFormat="1" x14ac:dyDescent="0.2"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</row>
    <row r="335" spans="12:21" s="135" customFormat="1" x14ac:dyDescent="0.2"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</row>
    <row r="336" spans="12:21" s="135" customFormat="1" x14ac:dyDescent="0.2"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</row>
    <row r="337" spans="12:21" s="135" customFormat="1" x14ac:dyDescent="0.2"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</row>
    <row r="338" spans="12:21" s="135" customFormat="1" x14ac:dyDescent="0.2"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</row>
    <row r="339" spans="12:21" s="135" customFormat="1" x14ac:dyDescent="0.2"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</row>
    <row r="340" spans="12:21" s="135" customFormat="1" x14ac:dyDescent="0.2"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</row>
    <row r="341" spans="12:21" s="135" customFormat="1" x14ac:dyDescent="0.2"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</row>
    <row r="342" spans="12:21" s="135" customFormat="1" x14ac:dyDescent="0.2"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</row>
    <row r="343" spans="12:21" s="135" customFormat="1" x14ac:dyDescent="0.2"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</row>
    <row r="344" spans="12:21" s="135" customFormat="1" x14ac:dyDescent="0.2"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</row>
    <row r="345" spans="12:21" s="135" customFormat="1" x14ac:dyDescent="0.2"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</row>
    <row r="346" spans="12:21" s="135" customFormat="1" x14ac:dyDescent="0.2"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</row>
    <row r="347" spans="12:21" s="135" customFormat="1" x14ac:dyDescent="0.2"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</row>
    <row r="348" spans="12:21" s="135" customFormat="1" x14ac:dyDescent="0.2"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</row>
    <row r="349" spans="12:21" s="135" customFormat="1" x14ac:dyDescent="0.2"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</row>
    <row r="350" spans="12:21" s="135" customFormat="1" x14ac:dyDescent="0.2"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</row>
    <row r="351" spans="12:21" s="135" customFormat="1" x14ac:dyDescent="0.2"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</row>
    <row r="352" spans="12:21" s="135" customFormat="1" x14ac:dyDescent="0.2"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</row>
    <row r="353" spans="12:21" s="135" customFormat="1" x14ac:dyDescent="0.2"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</row>
    <row r="354" spans="12:21" s="135" customFormat="1" x14ac:dyDescent="0.2"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</row>
    <row r="355" spans="12:21" s="135" customFormat="1" x14ac:dyDescent="0.2"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</row>
    <row r="356" spans="12:21" s="135" customFormat="1" x14ac:dyDescent="0.2"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</row>
    <row r="357" spans="12:21" s="135" customFormat="1" x14ac:dyDescent="0.2"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</row>
    <row r="358" spans="12:21" s="135" customFormat="1" x14ac:dyDescent="0.2"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</row>
    <row r="359" spans="12:21" s="135" customFormat="1" x14ac:dyDescent="0.2"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</row>
    <row r="360" spans="12:21" s="135" customFormat="1" x14ac:dyDescent="0.2"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</row>
    <row r="361" spans="12:21" s="135" customFormat="1" x14ac:dyDescent="0.2"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</row>
    <row r="362" spans="12:21" s="135" customFormat="1" x14ac:dyDescent="0.2"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</row>
    <row r="363" spans="12:21" s="135" customFormat="1" x14ac:dyDescent="0.2"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</row>
    <row r="364" spans="12:21" s="135" customFormat="1" x14ac:dyDescent="0.2"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</row>
    <row r="365" spans="12:21" s="135" customFormat="1" x14ac:dyDescent="0.2"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</row>
    <row r="366" spans="12:21" s="135" customFormat="1" x14ac:dyDescent="0.2"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</row>
    <row r="367" spans="12:21" s="135" customFormat="1" x14ac:dyDescent="0.2"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</row>
    <row r="368" spans="12:21" s="135" customFormat="1" x14ac:dyDescent="0.2"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</row>
    <row r="369" spans="12:21" s="135" customFormat="1" x14ac:dyDescent="0.2"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</row>
    <row r="370" spans="12:21" s="135" customFormat="1" x14ac:dyDescent="0.2"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</row>
    <row r="371" spans="12:21" s="135" customFormat="1" x14ac:dyDescent="0.2"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</row>
    <row r="372" spans="12:21" s="135" customFormat="1" x14ac:dyDescent="0.2"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</row>
    <row r="373" spans="12:21" s="135" customFormat="1" x14ac:dyDescent="0.2"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</row>
    <row r="374" spans="12:21" s="135" customFormat="1" x14ac:dyDescent="0.2"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</row>
    <row r="375" spans="12:21" s="135" customFormat="1" x14ac:dyDescent="0.2"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</row>
    <row r="376" spans="12:21" s="135" customFormat="1" x14ac:dyDescent="0.2"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</row>
    <row r="377" spans="12:21" s="135" customFormat="1" x14ac:dyDescent="0.2"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</row>
    <row r="378" spans="12:21" s="135" customFormat="1" x14ac:dyDescent="0.2"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</row>
    <row r="379" spans="12:21" s="135" customFormat="1" x14ac:dyDescent="0.2"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</row>
    <row r="380" spans="12:21" s="135" customFormat="1" x14ac:dyDescent="0.2"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</row>
    <row r="381" spans="12:21" s="135" customFormat="1" x14ac:dyDescent="0.2"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</row>
    <row r="382" spans="12:21" s="135" customFormat="1" x14ac:dyDescent="0.2"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</row>
    <row r="383" spans="12:21" s="135" customFormat="1" x14ac:dyDescent="0.2"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</row>
    <row r="384" spans="12:21" s="135" customFormat="1" x14ac:dyDescent="0.2"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</row>
    <row r="385" spans="12:21" s="135" customFormat="1" x14ac:dyDescent="0.2"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</row>
    <row r="386" spans="12:21" s="135" customFormat="1" x14ac:dyDescent="0.2"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</row>
    <row r="387" spans="12:21" s="135" customFormat="1" x14ac:dyDescent="0.2"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</row>
    <row r="388" spans="12:21" s="135" customFormat="1" x14ac:dyDescent="0.2"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</row>
    <row r="389" spans="12:21" s="135" customFormat="1" x14ac:dyDescent="0.2"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</row>
    <row r="390" spans="12:21" s="135" customFormat="1" x14ac:dyDescent="0.2"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</row>
    <row r="391" spans="12:21" s="135" customFormat="1" x14ac:dyDescent="0.2"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</row>
    <row r="392" spans="12:21" s="135" customFormat="1" x14ac:dyDescent="0.2"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</row>
    <row r="393" spans="12:21" s="135" customFormat="1" x14ac:dyDescent="0.2"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</row>
    <row r="394" spans="12:21" s="135" customFormat="1" x14ac:dyDescent="0.2"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</row>
    <row r="395" spans="12:21" s="135" customFormat="1" x14ac:dyDescent="0.2"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</row>
    <row r="396" spans="12:21" s="135" customFormat="1" x14ac:dyDescent="0.2"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</row>
    <row r="397" spans="12:21" s="135" customFormat="1" x14ac:dyDescent="0.2"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</row>
    <row r="398" spans="12:21" s="135" customFormat="1" x14ac:dyDescent="0.2"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</row>
    <row r="399" spans="12:21" s="135" customFormat="1" x14ac:dyDescent="0.2"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</row>
    <row r="400" spans="12:21" s="135" customFormat="1" x14ac:dyDescent="0.2"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</row>
    <row r="401" spans="12:21" s="135" customFormat="1" x14ac:dyDescent="0.2"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</row>
    <row r="402" spans="12:21" s="135" customFormat="1" x14ac:dyDescent="0.2"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</row>
    <row r="403" spans="12:21" s="135" customFormat="1" x14ac:dyDescent="0.2"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</row>
    <row r="404" spans="12:21" s="135" customFormat="1" x14ac:dyDescent="0.2"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</row>
    <row r="405" spans="12:21" s="135" customFormat="1" x14ac:dyDescent="0.2"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</row>
    <row r="406" spans="12:21" s="135" customFormat="1" x14ac:dyDescent="0.2"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</row>
    <row r="407" spans="12:21" s="135" customFormat="1" x14ac:dyDescent="0.2"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</row>
    <row r="408" spans="12:21" s="135" customFormat="1" x14ac:dyDescent="0.2"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</row>
    <row r="409" spans="12:21" s="135" customFormat="1" x14ac:dyDescent="0.2"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</row>
    <row r="410" spans="12:21" s="135" customFormat="1" x14ac:dyDescent="0.2"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</row>
    <row r="411" spans="12:21" s="135" customFormat="1" x14ac:dyDescent="0.2"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</row>
    <row r="412" spans="12:21" s="135" customFormat="1" x14ac:dyDescent="0.2"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</row>
    <row r="413" spans="12:21" s="135" customFormat="1" x14ac:dyDescent="0.2"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</row>
    <row r="414" spans="12:21" s="135" customFormat="1" x14ac:dyDescent="0.2"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</row>
    <row r="415" spans="12:21" s="135" customFormat="1" x14ac:dyDescent="0.2"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</row>
    <row r="416" spans="12:21" s="135" customFormat="1" x14ac:dyDescent="0.2"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</row>
    <row r="417" spans="12:21" s="135" customFormat="1" x14ac:dyDescent="0.2"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</row>
    <row r="418" spans="12:21" s="135" customFormat="1" x14ac:dyDescent="0.2"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</row>
    <row r="419" spans="12:21" s="135" customFormat="1" x14ac:dyDescent="0.2"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</row>
    <row r="420" spans="12:21" s="135" customFormat="1" x14ac:dyDescent="0.2"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</row>
    <row r="421" spans="12:21" s="135" customFormat="1" x14ac:dyDescent="0.2"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</row>
    <row r="422" spans="12:21" s="135" customFormat="1" x14ac:dyDescent="0.2"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</row>
    <row r="423" spans="12:21" s="135" customFormat="1" x14ac:dyDescent="0.2"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</row>
    <row r="424" spans="12:21" s="135" customFormat="1" x14ac:dyDescent="0.2"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</row>
    <row r="425" spans="12:21" s="135" customFormat="1" x14ac:dyDescent="0.2"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</row>
    <row r="426" spans="12:21" s="135" customFormat="1" x14ac:dyDescent="0.2"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</row>
    <row r="427" spans="12:21" s="135" customFormat="1" x14ac:dyDescent="0.2"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</row>
    <row r="428" spans="12:21" s="135" customFormat="1" x14ac:dyDescent="0.2"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</row>
    <row r="429" spans="12:21" s="135" customFormat="1" x14ac:dyDescent="0.2"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</row>
    <row r="430" spans="12:21" s="135" customFormat="1" x14ac:dyDescent="0.2"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</row>
    <row r="431" spans="12:21" s="135" customFormat="1" x14ac:dyDescent="0.2"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</row>
    <row r="432" spans="12:21" s="135" customFormat="1" x14ac:dyDescent="0.2"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</row>
    <row r="433" spans="12:21" s="135" customFormat="1" x14ac:dyDescent="0.2"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</row>
    <row r="434" spans="12:21" s="135" customFormat="1" x14ac:dyDescent="0.2"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</row>
    <row r="435" spans="12:21" s="135" customFormat="1" x14ac:dyDescent="0.2"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</row>
    <row r="436" spans="12:21" s="135" customFormat="1" x14ac:dyDescent="0.2"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</row>
    <row r="437" spans="12:21" s="135" customFormat="1" x14ac:dyDescent="0.2"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</row>
    <row r="438" spans="12:21" s="135" customFormat="1" x14ac:dyDescent="0.2"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</row>
    <row r="439" spans="12:21" s="135" customFormat="1" x14ac:dyDescent="0.2"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</row>
    <row r="440" spans="12:21" s="135" customFormat="1" x14ac:dyDescent="0.2"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</row>
    <row r="441" spans="12:21" s="135" customFormat="1" x14ac:dyDescent="0.2"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</row>
    <row r="442" spans="12:21" s="135" customFormat="1" x14ac:dyDescent="0.2"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</row>
    <row r="443" spans="12:21" s="135" customFormat="1" x14ac:dyDescent="0.2"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</row>
    <row r="444" spans="12:21" s="135" customFormat="1" x14ac:dyDescent="0.2"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</row>
    <row r="445" spans="12:21" s="135" customFormat="1" x14ac:dyDescent="0.2"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</row>
    <row r="446" spans="12:21" s="135" customFormat="1" x14ac:dyDescent="0.2"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</row>
    <row r="447" spans="12:21" s="135" customFormat="1" x14ac:dyDescent="0.2"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</row>
    <row r="448" spans="12:21" s="135" customFormat="1" x14ac:dyDescent="0.2"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</row>
    <row r="449" spans="12:21" s="135" customFormat="1" x14ac:dyDescent="0.2"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</row>
    <row r="450" spans="12:21" s="135" customFormat="1" x14ac:dyDescent="0.2"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</row>
    <row r="451" spans="12:21" s="135" customFormat="1" x14ac:dyDescent="0.2"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</row>
    <row r="452" spans="12:21" s="135" customFormat="1" x14ac:dyDescent="0.2"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</row>
    <row r="453" spans="12:21" s="135" customFormat="1" x14ac:dyDescent="0.2"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</row>
    <row r="454" spans="12:21" s="135" customFormat="1" x14ac:dyDescent="0.2"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</row>
    <row r="455" spans="12:21" s="135" customFormat="1" x14ac:dyDescent="0.2"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</row>
    <row r="456" spans="12:21" s="135" customFormat="1" x14ac:dyDescent="0.2"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</row>
    <row r="457" spans="12:21" s="135" customFormat="1" x14ac:dyDescent="0.2"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</row>
    <row r="458" spans="12:21" s="135" customFormat="1" x14ac:dyDescent="0.2"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</row>
    <row r="459" spans="12:21" s="135" customFormat="1" x14ac:dyDescent="0.2"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</row>
    <row r="460" spans="12:21" s="135" customFormat="1" x14ac:dyDescent="0.2"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</row>
    <row r="461" spans="12:21" s="135" customFormat="1" x14ac:dyDescent="0.2"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</row>
    <row r="462" spans="12:21" s="135" customFormat="1" x14ac:dyDescent="0.2"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</row>
    <row r="463" spans="12:21" s="135" customFormat="1" x14ac:dyDescent="0.2"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</row>
    <row r="464" spans="12:21" s="135" customFormat="1" x14ac:dyDescent="0.2"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</row>
    <row r="465" spans="12:21" s="135" customFormat="1" x14ac:dyDescent="0.2"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</row>
    <row r="466" spans="12:21" s="135" customFormat="1" x14ac:dyDescent="0.2"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</row>
    <row r="467" spans="12:21" s="135" customFormat="1" x14ac:dyDescent="0.2"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</row>
    <row r="468" spans="12:21" s="135" customFormat="1" x14ac:dyDescent="0.2"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</row>
    <row r="469" spans="12:21" s="135" customFormat="1" x14ac:dyDescent="0.2"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</row>
    <row r="470" spans="12:21" s="135" customFormat="1" x14ac:dyDescent="0.2"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</row>
    <row r="471" spans="12:21" s="135" customFormat="1" x14ac:dyDescent="0.2"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</row>
    <row r="472" spans="12:21" s="135" customFormat="1" x14ac:dyDescent="0.2"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</row>
    <row r="473" spans="12:21" s="135" customFormat="1" x14ac:dyDescent="0.2"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</row>
    <row r="474" spans="12:21" s="135" customFormat="1" x14ac:dyDescent="0.2"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</row>
    <row r="475" spans="12:21" s="135" customFormat="1" x14ac:dyDescent="0.2"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</row>
    <row r="476" spans="12:21" s="135" customFormat="1" x14ac:dyDescent="0.2"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</row>
    <row r="477" spans="12:21" s="135" customFormat="1" x14ac:dyDescent="0.2"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</row>
    <row r="478" spans="12:21" s="135" customFormat="1" x14ac:dyDescent="0.2"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</row>
    <row r="479" spans="12:21" s="135" customFormat="1" x14ac:dyDescent="0.2"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</row>
    <row r="480" spans="12:21" s="135" customFormat="1" x14ac:dyDescent="0.2"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</row>
    <row r="481" spans="12:21" s="135" customFormat="1" x14ac:dyDescent="0.2"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</row>
    <row r="482" spans="12:21" s="135" customFormat="1" x14ac:dyDescent="0.2"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</row>
    <row r="483" spans="12:21" s="135" customFormat="1" x14ac:dyDescent="0.2"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</row>
    <row r="484" spans="12:21" s="135" customFormat="1" x14ac:dyDescent="0.2"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</row>
    <row r="485" spans="12:21" s="135" customFormat="1" x14ac:dyDescent="0.2"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</row>
    <row r="486" spans="12:21" s="135" customFormat="1" x14ac:dyDescent="0.2"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</row>
    <row r="487" spans="12:21" s="135" customFormat="1" x14ac:dyDescent="0.2"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</row>
    <row r="488" spans="12:21" s="135" customFormat="1" x14ac:dyDescent="0.2"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</row>
    <row r="489" spans="12:21" s="135" customFormat="1" x14ac:dyDescent="0.2"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</row>
    <row r="490" spans="12:21" s="135" customFormat="1" x14ac:dyDescent="0.2"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</row>
    <row r="491" spans="12:21" s="135" customFormat="1" x14ac:dyDescent="0.2"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</row>
    <row r="492" spans="12:21" s="135" customFormat="1" x14ac:dyDescent="0.2"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</row>
    <row r="493" spans="12:21" s="135" customFormat="1" x14ac:dyDescent="0.2"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</row>
    <row r="494" spans="12:21" s="135" customFormat="1" x14ac:dyDescent="0.2"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</row>
    <row r="495" spans="12:21" s="135" customFormat="1" x14ac:dyDescent="0.2"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</row>
    <row r="496" spans="12:21" s="135" customFormat="1" x14ac:dyDescent="0.2"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</row>
    <row r="497" spans="12:21" s="135" customFormat="1" x14ac:dyDescent="0.2"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</row>
    <row r="498" spans="12:21" s="135" customFormat="1" x14ac:dyDescent="0.2"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</row>
    <row r="499" spans="12:21" s="135" customFormat="1" x14ac:dyDescent="0.2"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</row>
    <row r="500" spans="12:21" s="135" customFormat="1" x14ac:dyDescent="0.2"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</row>
    <row r="501" spans="12:21" s="135" customFormat="1" x14ac:dyDescent="0.2"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</row>
    <row r="502" spans="12:21" s="135" customFormat="1" x14ac:dyDescent="0.2"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</row>
    <row r="503" spans="12:21" s="135" customFormat="1" x14ac:dyDescent="0.2"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</row>
    <row r="504" spans="12:21" s="135" customFormat="1" x14ac:dyDescent="0.2"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</row>
    <row r="505" spans="12:21" s="135" customFormat="1" x14ac:dyDescent="0.2"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</row>
    <row r="506" spans="12:21" s="135" customFormat="1" x14ac:dyDescent="0.2"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</row>
    <row r="507" spans="12:21" s="135" customFormat="1" x14ac:dyDescent="0.2"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</row>
    <row r="508" spans="12:21" s="135" customFormat="1" x14ac:dyDescent="0.2"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</row>
    <row r="509" spans="12:21" s="135" customFormat="1" x14ac:dyDescent="0.2"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</row>
    <row r="510" spans="12:21" s="135" customFormat="1" x14ac:dyDescent="0.2"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</row>
    <row r="511" spans="12:21" s="135" customFormat="1" x14ac:dyDescent="0.2"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</row>
    <row r="512" spans="12:21" s="135" customFormat="1" x14ac:dyDescent="0.2"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</row>
    <row r="513" spans="12:21" s="135" customFormat="1" x14ac:dyDescent="0.2"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</row>
    <row r="514" spans="12:21" s="135" customFormat="1" x14ac:dyDescent="0.2"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</row>
    <row r="515" spans="12:21" s="135" customFormat="1" x14ac:dyDescent="0.2"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</row>
    <row r="516" spans="12:21" s="135" customFormat="1" x14ac:dyDescent="0.2"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</row>
    <row r="517" spans="12:21" s="135" customFormat="1" x14ac:dyDescent="0.2"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</row>
    <row r="518" spans="12:21" s="135" customFormat="1" x14ac:dyDescent="0.2"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</row>
    <row r="519" spans="12:21" s="135" customFormat="1" x14ac:dyDescent="0.2"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</row>
    <row r="520" spans="12:21" s="135" customFormat="1" x14ac:dyDescent="0.2"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</row>
    <row r="521" spans="12:21" s="135" customFormat="1" x14ac:dyDescent="0.2"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</row>
    <row r="522" spans="12:21" s="135" customFormat="1" x14ac:dyDescent="0.2"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</row>
    <row r="523" spans="12:21" s="135" customFormat="1" x14ac:dyDescent="0.2"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</row>
    <row r="524" spans="12:21" s="135" customFormat="1" x14ac:dyDescent="0.2"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</row>
    <row r="525" spans="12:21" s="135" customFormat="1" x14ac:dyDescent="0.2"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</row>
    <row r="526" spans="12:21" s="135" customFormat="1" x14ac:dyDescent="0.2"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</row>
    <row r="527" spans="12:21" s="135" customFormat="1" x14ac:dyDescent="0.2"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</row>
    <row r="528" spans="12:21" s="135" customFormat="1" x14ac:dyDescent="0.2"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</row>
    <row r="529" spans="12:21" s="135" customFormat="1" x14ac:dyDescent="0.2"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</row>
    <row r="530" spans="12:21" s="135" customFormat="1" x14ac:dyDescent="0.2"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</row>
    <row r="531" spans="12:21" s="135" customFormat="1" x14ac:dyDescent="0.2"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</row>
    <row r="532" spans="12:21" s="135" customFormat="1" x14ac:dyDescent="0.2"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</row>
    <row r="533" spans="12:21" s="135" customFormat="1" x14ac:dyDescent="0.2"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</row>
    <row r="534" spans="12:21" s="135" customFormat="1" x14ac:dyDescent="0.2"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</row>
    <row r="535" spans="12:21" s="135" customFormat="1" x14ac:dyDescent="0.2"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</row>
    <row r="536" spans="12:21" s="135" customFormat="1" x14ac:dyDescent="0.2"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</row>
    <row r="537" spans="12:21" s="135" customFormat="1" x14ac:dyDescent="0.2"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</row>
    <row r="538" spans="12:21" s="135" customFormat="1" x14ac:dyDescent="0.2"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</row>
    <row r="539" spans="12:21" s="135" customFormat="1" x14ac:dyDescent="0.2"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</row>
    <row r="540" spans="12:21" s="135" customFormat="1" x14ac:dyDescent="0.2"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</row>
    <row r="541" spans="12:21" s="135" customFormat="1" x14ac:dyDescent="0.2"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</row>
    <row r="542" spans="12:21" s="135" customFormat="1" x14ac:dyDescent="0.2"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</row>
    <row r="543" spans="12:21" s="135" customFormat="1" x14ac:dyDescent="0.2"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</row>
    <row r="544" spans="12:21" s="135" customFormat="1" x14ac:dyDescent="0.2"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</row>
    <row r="545" spans="12:21" s="135" customFormat="1" x14ac:dyDescent="0.2"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</row>
    <row r="546" spans="12:21" s="135" customFormat="1" x14ac:dyDescent="0.2"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</row>
    <row r="547" spans="12:21" s="135" customFormat="1" x14ac:dyDescent="0.2"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</row>
    <row r="548" spans="12:21" s="135" customFormat="1" x14ac:dyDescent="0.2"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</row>
    <row r="549" spans="12:21" s="135" customFormat="1" x14ac:dyDescent="0.2"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</row>
    <row r="550" spans="12:21" s="135" customFormat="1" x14ac:dyDescent="0.2"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</row>
    <row r="551" spans="12:21" s="135" customFormat="1" x14ac:dyDescent="0.2"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</row>
    <row r="552" spans="12:21" s="135" customFormat="1" x14ac:dyDescent="0.2"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</row>
    <row r="553" spans="12:21" s="135" customFormat="1" x14ac:dyDescent="0.2"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</row>
    <row r="554" spans="12:21" s="135" customFormat="1" x14ac:dyDescent="0.2"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</row>
    <row r="555" spans="12:21" s="135" customFormat="1" x14ac:dyDescent="0.2"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</row>
    <row r="556" spans="12:21" s="135" customFormat="1" x14ac:dyDescent="0.2"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</row>
    <row r="557" spans="12:21" s="135" customFormat="1" x14ac:dyDescent="0.2"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</row>
    <row r="558" spans="12:21" s="135" customFormat="1" x14ac:dyDescent="0.2"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</row>
    <row r="559" spans="12:21" s="135" customFormat="1" x14ac:dyDescent="0.2"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</row>
    <row r="560" spans="12:21" s="135" customFormat="1" x14ac:dyDescent="0.2"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</row>
    <row r="561" spans="12:21" s="135" customFormat="1" x14ac:dyDescent="0.2"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</row>
    <row r="562" spans="12:21" s="135" customFormat="1" x14ac:dyDescent="0.2"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</row>
    <row r="563" spans="12:21" s="135" customFormat="1" x14ac:dyDescent="0.2"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</row>
    <row r="564" spans="12:21" s="135" customFormat="1" x14ac:dyDescent="0.2"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</row>
    <row r="565" spans="12:21" s="135" customFormat="1" x14ac:dyDescent="0.2"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</row>
    <row r="566" spans="12:21" s="135" customFormat="1" x14ac:dyDescent="0.2"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</row>
    <row r="567" spans="12:21" s="135" customFormat="1" x14ac:dyDescent="0.2"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</row>
    <row r="568" spans="12:21" s="135" customFormat="1" x14ac:dyDescent="0.2"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</row>
    <row r="569" spans="12:21" s="135" customFormat="1" x14ac:dyDescent="0.2"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</row>
    <row r="570" spans="12:21" s="135" customFormat="1" x14ac:dyDescent="0.2"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</row>
    <row r="571" spans="12:21" s="135" customFormat="1" x14ac:dyDescent="0.2"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</row>
    <row r="572" spans="12:21" s="135" customFormat="1" x14ac:dyDescent="0.2"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</row>
    <row r="573" spans="12:21" s="135" customFormat="1" x14ac:dyDescent="0.2"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</row>
    <row r="574" spans="12:21" s="135" customFormat="1" x14ac:dyDescent="0.2"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</row>
    <row r="575" spans="12:21" s="135" customFormat="1" x14ac:dyDescent="0.2"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</row>
    <row r="576" spans="12:21" s="135" customFormat="1" x14ac:dyDescent="0.2"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</row>
    <row r="577" spans="12:21" s="135" customFormat="1" x14ac:dyDescent="0.2"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</row>
    <row r="578" spans="12:21" s="135" customFormat="1" x14ac:dyDescent="0.2"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</row>
    <row r="579" spans="12:21" s="135" customFormat="1" x14ac:dyDescent="0.2"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</row>
    <row r="580" spans="12:21" s="135" customFormat="1" x14ac:dyDescent="0.2"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</row>
    <row r="581" spans="12:21" s="135" customFormat="1" x14ac:dyDescent="0.2"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</row>
    <row r="582" spans="12:21" s="135" customFormat="1" x14ac:dyDescent="0.2"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</row>
    <row r="583" spans="12:21" s="135" customFormat="1" x14ac:dyDescent="0.2"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</row>
    <row r="584" spans="12:21" s="135" customFormat="1" x14ac:dyDescent="0.2"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</row>
    <row r="585" spans="12:21" s="135" customFormat="1" x14ac:dyDescent="0.2"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</row>
    <row r="586" spans="12:21" s="135" customFormat="1" x14ac:dyDescent="0.2"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</row>
    <row r="587" spans="12:21" s="135" customFormat="1" x14ac:dyDescent="0.2"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</row>
    <row r="588" spans="12:21" s="135" customFormat="1" x14ac:dyDescent="0.2"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</row>
    <row r="589" spans="12:21" s="135" customFormat="1" x14ac:dyDescent="0.2"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</row>
    <row r="590" spans="12:21" s="135" customFormat="1" x14ac:dyDescent="0.2"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</row>
    <row r="591" spans="12:21" s="135" customFormat="1" x14ac:dyDescent="0.2"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</row>
    <row r="592" spans="12:21" s="135" customFormat="1" x14ac:dyDescent="0.2"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</row>
    <row r="593" spans="12:21" s="135" customFormat="1" x14ac:dyDescent="0.2"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</row>
    <row r="594" spans="12:21" s="135" customFormat="1" x14ac:dyDescent="0.2"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</row>
    <row r="595" spans="12:21" s="135" customFormat="1" x14ac:dyDescent="0.2"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</row>
    <row r="596" spans="12:21" s="135" customFormat="1" x14ac:dyDescent="0.2"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</row>
    <row r="597" spans="12:21" s="135" customFormat="1" x14ac:dyDescent="0.2"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</row>
    <row r="598" spans="12:21" s="135" customFormat="1" x14ac:dyDescent="0.2"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</row>
    <row r="599" spans="12:21" s="135" customFormat="1" x14ac:dyDescent="0.2"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</row>
    <row r="600" spans="12:21" s="135" customFormat="1" x14ac:dyDescent="0.2"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</row>
    <row r="601" spans="12:21" s="135" customFormat="1" x14ac:dyDescent="0.2"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</row>
    <row r="602" spans="12:21" s="135" customFormat="1" x14ac:dyDescent="0.2"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</row>
    <row r="603" spans="12:21" s="135" customFormat="1" x14ac:dyDescent="0.2"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</row>
    <row r="604" spans="12:21" s="135" customFormat="1" x14ac:dyDescent="0.2"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</row>
    <row r="605" spans="12:21" s="135" customFormat="1" x14ac:dyDescent="0.2"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</row>
    <row r="606" spans="12:21" s="135" customFormat="1" x14ac:dyDescent="0.2"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</row>
    <row r="607" spans="12:21" s="135" customFormat="1" x14ac:dyDescent="0.2"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</row>
    <row r="608" spans="12:21" s="135" customFormat="1" x14ac:dyDescent="0.2"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</row>
    <row r="609" spans="12:21" s="135" customFormat="1" x14ac:dyDescent="0.2"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</row>
    <row r="610" spans="12:21" s="135" customFormat="1" x14ac:dyDescent="0.2"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</row>
    <row r="611" spans="12:21" s="135" customFormat="1" x14ac:dyDescent="0.2"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</row>
    <row r="612" spans="12:21" s="135" customFormat="1" x14ac:dyDescent="0.2"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</row>
    <row r="613" spans="12:21" s="135" customFormat="1" x14ac:dyDescent="0.2"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</row>
  </sheetData>
  <mergeCells count="16">
    <mergeCell ref="M5:S5"/>
    <mergeCell ref="M6:S6"/>
    <mergeCell ref="M7:S7"/>
    <mergeCell ref="L4:S4"/>
    <mergeCell ref="E1:G1"/>
    <mergeCell ref="E2:G2"/>
    <mergeCell ref="E3:G3"/>
    <mergeCell ref="E4:G4"/>
    <mergeCell ref="D30:H30"/>
    <mergeCell ref="C31:H31"/>
    <mergeCell ref="C11:G11"/>
    <mergeCell ref="C10:G10"/>
    <mergeCell ref="C23:G23"/>
    <mergeCell ref="C24:G24"/>
    <mergeCell ref="C18:H18"/>
    <mergeCell ref="F17:H17"/>
  </mergeCells>
  <pageMargins left="0.7" right="0.7" top="0.75" bottom="0.75" header="0.3" footer="0.3"/>
  <pageSetup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Z722"/>
  <sheetViews>
    <sheetView topLeftCell="A8" zoomScaleNormal="100" workbookViewId="0">
      <selection activeCell="D10" sqref="D10"/>
    </sheetView>
  </sheetViews>
  <sheetFormatPr defaultColWidth="9.140625" defaultRowHeight="12.75" x14ac:dyDescent="0.2"/>
  <cols>
    <col min="1" max="11" width="8.5703125" style="2" customWidth="1"/>
    <col min="12" max="13" width="11.42578125" style="2" customWidth="1"/>
    <col min="14" max="14" width="9.5703125" style="2" customWidth="1"/>
    <col min="15" max="22" width="11.42578125" style="2" customWidth="1"/>
    <col min="23" max="23" width="15.5703125" style="2" bestFit="1" customWidth="1"/>
    <col min="24" max="26" width="11.42578125" style="2" customWidth="1"/>
    <col min="27" max="16384" width="9.140625" style="2"/>
  </cols>
  <sheetData>
    <row r="1" spans="1:26" ht="15" customHeight="1" x14ac:dyDescent="0.25">
      <c r="A1" s="22"/>
      <c r="B1" s="23"/>
      <c r="C1" s="23"/>
      <c r="D1" s="198" t="s">
        <v>131</v>
      </c>
      <c r="E1" s="337" t="str">
        <f>+IF('Site Ground Motions'!E1="","",'Site Ground Motions'!E1)</f>
        <v/>
      </c>
      <c r="F1" s="337"/>
      <c r="G1" s="337"/>
      <c r="H1" s="337"/>
      <c r="I1" s="337"/>
      <c r="J1" s="337"/>
      <c r="K1" s="220" t="s">
        <v>132</v>
      </c>
      <c r="L1" s="207" t="str">
        <f>+IF('Site Ground Motions'!I1="","",'Site Ground Motions'!I1)</f>
        <v/>
      </c>
      <c r="M1" s="199" t="s">
        <v>133</v>
      </c>
      <c r="N1" s="24"/>
      <c r="O1" s="25" t="s">
        <v>134</v>
      </c>
      <c r="P1" s="26"/>
      <c r="Q1" s="24"/>
      <c r="R1" s="24"/>
      <c r="S1" s="24"/>
      <c r="T1" s="24"/>
      <c r="U1" s="24"/>
      <c r="V1" s="112"/>
      <c r="W1" s="205" t="s">
        <v>178</v>
      </c>
      <c r="X1" s="206">
        <f>'Site Ground Motions'!X1</f>
        <v>2.1</v>
      </c>
      <c r="Y1" s="112"/>
      <c r="Z1" s="112"/>
    </row>
    <row r="2" spans="1:26" ht="15" customHeight="1" x14ac:dyDescent="0.2">
      <c r="A2" s="28"/>
      <c r="B2" s="29"/>
      <c r="C2" s="29"/>
      <c r="D2" s="198" t="s">
        <v>135</v>
      </c>
      <c r="E2" s="337" t="str">
        <f>+IF('Site Ground Motions'!E2="","",'Site Ground Motions'!E2)</f>
        <v/>
      </c>
      <c r="F2" s="337"/>
      <c r="G2" s="337"/>
      <c r="H2" s="337"/>
      <c r="I2" s="337"/>
      <c r="J2" s="337"/>
      <c r="K2" s="220" t="s">
        <v>136</v>
      </c>
      <c r="L2" s="221" t="str">
        <f>+IF('Site Ground Motions'!I2="","",'Site Ground Motions'!I2)</f>
        <v/>
      </c>
      <c r="M2" s="202" t="s">
        <v>181</v>
      </c>
      <c r="N2" s="24"/>
      <c r="O2" s="26" t="s">
        <v>137</v>
      </c>
      <c r="P2" s="26"/>
      <c r="Q2" s="24"/>
      <c r="R2" s="24"/>
      <c r="S2" s="24"/>
      <c r="T2" s="24"/>
      <c r="U2" s="24"/>
      <c r="V2" s="112"/>
      <c r="W2" s="205" t="s">
        <v>179</v>
      </c>
      <c r="X2" s="216">
        <f>'Site Ground Motions'!X2</f>
        <v>45201</v>
      </c>
      <c r="Y2" s="112"/>
      <c r="Z2" s="112"/>
    </row>
    <row r="3" spans="1:26" ht="15" customHeight="1" x14ac:dyDescent="0.2">
      <c r="A3" s="28"/>
      <c r="B3" s="29"/>
      <c r="C3" s="29"/>
      <c r="D3" s="198" t="s">
        <v>138</v>
      </c>
      <c r="E3" s="337" t="str">
        <f>+IF('Site Ground Motions'!E3="","",'Site Ground Motions'!E3)</f>
        <v/>
      </c>
      <c r="F3" s="337"/>
      <c r="G3" s="337"/>
      <c r="H3" s="337"/>
      <c r="I3" s="337"/>
      <c r="J3" s="337"/>
      <c r="K3" s="220" t="s">
        <v>139</v>
      </c>
      <c r="L3" s="207" t="str">
        <f>+IF('Site Ground Motions'!I3="","",'Site Ground Motions'!I3)</f>
        <v/>
      </c>
      <c r="M3" s="199" t="s">
        <v>140</v>
      </c>
      <c r="N3" s="24"/>
      <c r="O3" s="30"/>
      <c r="P3" s="30"/>
      <c r="Q3" s="24"/>
      <c r="R3" s="24"/>
      <c r="S3" s="24"/>
      <c r="T3" s="24"/>
      <c r="U3" s="24"/>
      <c r="V3" s="112"/>
      <c r="W3" s="112"/>
      <c r="X3" s="112"/>
      <c r="Y3" s="112"/>
      <c r="Z3" s="112"/>
    </row>
    <row r="4" spans="1:26" ht="15" customHeight="1" x14ac:dyDescent="0.25">
      <c r="A4" s="31"/>
      <c r="B4" s="32"/>
      <c r="C4" s="32"/>
      <c r="D4" s="198" t="s">
        <v>141</v>
      </c>
      <c r="E4" s="337" t="s">
        <v>175</v>
      </c>
      <c r="F4" s="337"/>
      <c r="G4" s="337"/>
      <c r="H4" s="337"/>
      <c r="I4" s="337"/>
      <c r="J4" s="337"/>
      <c r="K4" s="220" t="s">
        <v>136</v>
      </c>
      <c r="L4" s="207" t="str">
        <f>+IF('Site Ground Motions'!I4="","",'Site Ground Motions'!I4)</f>
        <v/>
      </c>
      <c r="M4" s="222" t="str">
        <f>+IF('Site Ground Motions'!J4="","",'Site Ground Motions'!J4)</f>
        <v/>
      </c>
      <c r="N4" s="24"/>
      <c r="O4" s="320" t="s">
        <v>164</v>
      </c>
      <c r="P4" s="320"/>
      <c r="Q4" s="320"/>
      <c r="R4" s="320"/>
      <c r="S4" s="320"/>
      <c r="T4" s="320"/>
      <c r="U4" s="320"/>
      <c r="V4" s="320"/>
      <c r="W4" s="112"/>
      <c r="X4" s="112"/>
      <c r="Y4" s="112"/>
      <c r="Z4" s="112"/>
    </row>
    <row r="5" spans="1:26" ht="15" customHeight="1" x14ac:dyDescent="0.2">
      <c r="A5" s="7"/>
      <c r="M5" s="8"/>
      <c r="N5" s="24"/>
      <c r="O5" s="68"/>
      <c r="P5" s="313" t="s">
        <v>165</v>
      </c>
      <c r="Q5" s="314"/>
      <c r="R5" s="314"/>
      <c r="S5" s="314"/>
      <c r="T5" s="314"/>
      <c r="U5" s="314"/>
      <c r="V5" s="314"/>
      <c r="W5" s="112"/>
      <c r="X5" s="112"/>
      <c r="Y5" s="112"/>
      <c r="Z5" s="112"/>
    </row>
    <row r="6" spans="1:26" ht="15" customHeight="1" thickBot="1" x14ac:dyDescent="0.3">
      <c r="A6" s="45" t="s">
        <v>156</v>
      </c>
      <c r="B6" s="1"/>
      <c r="C6" s="1"/>
      <c r="D6" s="1"/>
      <c r="E6" s="1"/>
      <c r="F6" s="1"/>
      <c r="G6" s="1"/>
      <c r="H6" s="1"/>
      <c r="I6" s="1"/>
      <c r="J6" s="1"/>
      <c r="M6" s="8"/>
      <c r="N6" s="24"/>
      <c r="O6" s="38">
        <v>888</v>
      </c>
      <c r="P6" s="318" t="s">
        <v>166</v>
      </c>
      <c r="Q6" s="319"/>
      <c r="R6" s="319"/>
      <c r="S6" s="319"/>
      <c r="T6" s="319"/>
      <c r="U6" s="319"/>
      <c r="V6" s="319"/>
      <c r="W6" s="112"/>
      <c r="X6" s="112"/>
      <c r="Y6" s="112"/>
      <c r="Z6" s="112"/>
    </row>
    <row r="7" spans="1:26" ht="15" customHeight="1" x14ac:dyDescent="0.25">
      <c r="A7" s="7"/>
      <c r="M7" s="8"/>
      <c r="N7" s="24"/>
      <c r="O7" s="71">
        <v>1.05</v>
      </c>
      <c r="P7" s="319" t="s">
        <v>167</v>
      </c>
      <c r="Q7" s="319"/>
      <c r="R7" s="319"/>
      <c r="S7" s="319"/>
      <c r="T7" s="319"/>
      <c r="U7" s="319"/>
      <c r="V7" s="319"/>
      <c r="W7" s="112"/>
      <c r="X7" s="112"/>
      <c r="Y7" s="112"/>
      <c r="Z7" s="112"/>
    </row>
    <row r="8" spans="1:26" ht="15" customHeight="1" x14ac:dyDescent="0.2">
      <c r="A8" s="7"/>
      <c r="M8" s="8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spans="1:26" ht="15" customHeight="1" x14ac:dyDescent="0.2">
      <c r="A9" s="7"/>
      <c r="C9" s="11" t="s">
        <v>87</v>
      </c>
      <c r="D9" s="39" t="s">
        <v>222</v>
      </c>
      <c r="F9" s="10" t="s">
        <v>157</v>
      </c>
      <c r="M9" s="8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spans="1:26" ht="15" customHeight="1" x14ac:dyDescent="0.2">
      <c r="A10" s="7"/>
      <c r="C10" s="88" t="s">
        <v>15</v>
      </c>
      <c r="D10" s="39" t="s">
        <v>1</v>
      </c>
      <c r="F10" s="10" t="s">
        <v>158</v>
      </c>
      <c r="M10" s="8"/>
      <c r="N10" s="112"/>
      <c r="O10" s="112"/>
      <c r="P10" s="112"/>
      <c r="Q10" s="112"/>
      <c r="R10" s="112"/>
      <c r="S10" s="112"/>
      <c r="T10" s="112"/>
      <c r="U10" s="112"/>
      <c r="V10" s="117" t="s">
        <v>106</v>
      </c>
      <c r="W10" s="112"/>
      <c r="X10" s="112"/>
      <c r="Y10" s="112"/>
      <c r="Z10" s="112"/>
    </row>
    <row r="11" spans="1:26" ht="15" customHeight="1" x14ac:dyDescent="0.2">
      <c r="A11" s="7"/>
      <c r="M11" s="8"/>
      <c r="N11" s="112"/>
      <c r="O11" s="145" t="s">
        <v>14</v>
      </c>
      <c r="P11" s="146"/>
      <c r="Q11" s="146"/>
      <c r="R11" s="146"/>
      <c r="S11" s="146"/>
      <c r="T11" s="114"/>
      <c r="U11" s="112"/>
      <c r="V11" s="125">
        <f>'Site Ground Motions'!Q21</f>
        <v>0</v>
      </c>
      <c r="W11" s="147">
        <f ca="1">'Site Ground Motions'!R21</f>
        <v>0.4492173913043479</v>
      </c>
      <c r="X11" s="148">
        <f ca="1">+O13</f>
        <v>0.10366555183946491</v>
      </c>
      <c r="Y11" s="112"/>
      <c r="Z11" s="112"/>
    </row>
    <row r="12" spans="1:26" ht="15" customHeight="1" x14ac:dyDescent="0.2">
      <c r="A12" s="7"/>
      <c r="B12" s="2" t="s">
        <v>22</v>
      </c>
      <c r="M12" s="8"/>
      <c r="N12" s="112"/>
      <c r="O12" s="149"/>
      <c r="P12" s="112"/>
      <c r="Q12" s="112"/>
      <c r="R12" s="112"/>
      <c r="S12" s="112"/>
      <c r="T12" s="150"/>
      <c r="U12" s="112"/>
      <c r="V12" s="124">
        <f>'Site Ground Motions'!Q22</f>
        <v>1.1499999999999999</v>
      </c>
      <c r="W12" s="151">
        <f ca="1">'Site Ground Motions'!R22</f>
        <v>0.4492173913043479</v>
      </c>
      <c r="X12" s="152">
        <f ca="1">+O13</f>
        <v>0.10366555183946491</v>
      </c>
      <c r="Y12" s="112"/>
      <c r="Z12" s="112"/>
    </row>
    <row r="13" spans="1:26" ht="15" customHeight="1" x14ac:dyDescent="0.3">
      <c r="A13" s="7"/>
      <c r="B13" s="88" t="s">
        <v>5</v>
      </c>
      <c r="C13" s="94">
        <f ca="1">'Site Ground Motions'!C21</f>
        <v>0.67719493333333336</v>
      </c>
      <c r="E13" s="88" t="s">
        <v>8</v>
      </c>
      <c r="F13" s="95">
        <f ca="1">'Site Ground Motions'!C24</f>
        <v>0.15257054492630584</v>
      </c>
      <c r="H13" s="88" t="s">
        <v>18</v>
      </c>
      <c r="I13" s="95">
        <f>'Site Ground Motions'!C33</f>
        <v>1.1499999999999999</v>
      </c>
      <c r="K13" s="11"/>
      <c r="L13" s="90"/>
      <c r="M13" s="8"/>
      <c r="N13" s="112"/>
      <c r="O13" s="153">
        <f ca="1">IF(AND(D10="D",C14&gt;0.2),IF(I13 &lt; 1.5*F14, D24, IF(I13 &lt; F15, D26, D28)),IF(I13 &lt; F14, D24, IF(I13 &lt; F15, D25, D27)))</f>
        <v>0.10366555183946491</v>
      </c>
      <c r="P13" s="112" t="s">
        <v>95</v>
      </c>
      <c r="Q13" s="112"/>
      <c r="R13" s="112"/>
      <c r="S13" s="112"/>
      <c r="T13" s="150"/>
      <c r="U13" s="112"/>
      <c r="V13" s="126">
        <f>'Site Ground Motions'!Q23</f>
        <v>1.1499999999999999</v>
      </c>
      <c r="W13" s="154">
        <f>'Site Ground Motions'!R23</f>
        <v>0</v>
      </c>
      <c r="X13" s="155">
        <f>W13 / $D$22</f>
        <v>0</v>
      </c>
      <c r="Y13" s="112"/>
      <c r="Z13" s="112"/>
    </row>
    <row r="14" spans="1:26" ht="15" customHeight="1" x14ac:dyDescent="0.3">
      <c r="A14" s="7"/>
      <c r="B14" s="88" t="s">
        <v>6</v>
      </c>
      <c r="C14" s="94">
        <f ca="1">'Site Ground Motions'!C22</f>
        <v>0.51660000000000006</v>
      </c>
      <c r="E14" s="88" t="s">
        <v>7</v>
      </c>
      <c r="F14" s="95">
        <f ca="1">'Site Ground Motions'!C25</f>
        <v>0.76285272463152909</v>
      </c>
      <c r="H14" s="88" t="s">
        <v>11</v>
      </c>
      <c r="I14" s="94">
        <f ca="1">'Site Ground Motions'!C39</f>
        <v>0.4492173913043479</v>
      </c>
      <c r="K14" s="11"/>
      <c r="L14" s="89"/>
      <c r="M14" s="8"/>
      <c r="N14" s="112"/>
      <c r="O14" s="156" t="str">
        <f>IF(I15 &gt;= 0.6, "Yes", "No")</f>
        <v>No</v>
      </c>
      <c r="P14" s="157" t="s">
        <v>93</v>
      </c>
      <c r="Q14" s="112"/>
      <c r="R14" s="112"/>
      <c r="S14" s="112"/>
      <c r="T14" s="150"/>
      <c r="U14" s="112"/>
      <c r="V14" s="117" t="s">
        <v>107</v>
      </c>
      <c r="W14" s="117"/>
      <c r="X14" s="117"/>
      <c r="Y14" s="112"/>
      <c r="Z14" s="112"/>
    </row>
    <row r="15" spans="1:26" ht="15" customHeight="1" x14ac:dyDescent="0.3">
      <c r="A15" s="7"/>
      <c r="B15" s="88"/>
      <c r="C15" s="89"/>
      <c r="E15" s="88" t="s">
        <v>39</v>
      </c>
      <c r="F15" s="96">
        <f>'Site Ground Motions'!C26</f>
        <v>16</v>
      </c>
      <c r="H15" s="88" t="s">
        <v>2</v>
      </c>
      <c r="I15" s="94">
        <f>'Site Ground Motions'!C13</f>
        <v>0.41</v>
      </c>
      <c r="K15" s="88"/>
      <c r="L15" s="89"/>
      <c r="M15" s="8"/>
      <c r="N15" s="112"/>
      <c r="O15" s="158">
        <f ca="1">IF(O14 = "No", D29, MAX(D29, D30))</f>
        <v>2.9796577066666666E-2</v>
      </c>
      <c r="P15" s="157" t="s">
        <v>96</v>
      </c>
      <c r="Q15" s="112"/>
      <c r="R15" s="112"/>
      <c r="S15" s="112"/>
      <c r="T15" s="150"/>
      <c r="U15" s="112"/>
      <c r="V15" s="125">
        <f>'Site Ground Motions'!L21</f>
        <v>0</v>
      </c>
      <c r="W15" s="147">
        <f ca="1">X15*$D$20</f>
        <v>0.19367775093333334</v>
      </c>
      <c r="X15" s="148">
        <f ca="1">MAX(D29:D30)</f>
        <v>2.9796577066666666E-2</v>
      </c>
      <c r="Y15" s="112"/>
      <c r="Z15" s="112"/>
    </row>
    <row r="16" spans="1:26" ht="15" customHeight="1" x14ac:dyDescent="0.2">
      <c r="A16" s="7"/>
      <c r="M16" s="8"/>
      <c r="N16" s="112"/>
      <c r="O16" s="159"/>
      <c r="P16" s="112"/>
      <c r="Q16" s="112"/>
      <c r="R16" s="112"/>
      <c r="S16" s="112"/>
      <c r="T16" s="150"/>
      <c r="U16" s="112"/>
      <c r="V16" s="126">
        <f ca="1">MAX(O23:O58)</f>
        <v>4.4000000000000012</v>
      </c>
      <c r="W16" s="154">
        <f ca="1">X16*$D$20</f>
        <v>0.19367775093333334</v>
      </c>
      <c r="X16" s="155">
        <f ca="1">MAX(D29:D30)</f>
        <v>2.9796577066666666E-2</v>
      </c>
      <c r="Y16" s="112"/>
      <c r="Z16" s="112"/>
    </row>
    <row r="17" spans="1:26" ht="15" customHeight="1" x14ac:dyDescent="0.2">
      <c r="A17" s="7"/>
      <c r="M17" s="8"/>
      <c r="N17" s="112"/>
      <c r="O17" s="160">
        <f ca="1">MAX(O13, O15)</f>
        <v>0.10366555183946491</v>
      </c>
      <c r="P17" s="161" t="s">
        <v>44</v>
      </c>
      <c r="Q17" s="112"/>
      <c r="R17" s="112"/>
      <c r="S17" s="112"/>
      <c r="T17" s="150"/>
      <c r="U17" s="112"/>
      <c r="V17" s="112"/>
      <c r="W17" s="112"/>
      <c r="X17" s="112"/>
      <c r="Y17" s="112"/>
      <c r="Z17" s="112"/>
    </row>
    <row r="18" spans="1:26" ht="15" customHeight="1" x14ac:dyDescent="0.3">
      <c r="A18" s="7"/>
      <c r="C18" s="2" t="s">
        <v>16</v>
      </c>
      <c r="F18" s="10" t="s">
        <v>183</v>
      </c>
      <c r="M18" s="8"/>
      <c r="N18" s="112"/>
      <c r="O18" s="149"/>
      <c r="P18" s="112"/>
      <c r="Q18" s="112"/>
      <c r="R18" s="112"/>
      <c r="S18" s="112"/>
      <c r="T18" s="150"/>
      <c r="U18" s="112"/>
      <c r="V18" s="112"/>
      <c r="W18" s="112"/>
      <c r="X18" s="112"/>
      <c r="Y18" s="112"/>
      <c r="Z18" s="112"/>
    </row>
    <row r="19" spans="1:26" ht="15" customHeight="1" x14ac:dyDescent="0.2">
      <c r="A19" s="7"/>
      <c r="M19" s="8"/>
      <c r="N19" s="112"/>
      <c r="O19" s="162"/>
      <c r="P19" s="163"/>
      <c r="Q19" s="163"/>
      <c r="R19" s="163"/>
      <c r="S19" s="163"/>
      <c r="T19" s="164"/>
      <c r="U19" s="112"/>
      <c r="V19" s="112"/>
      <c r="W19" s="112"/>
      <c r="X19" s="112"/>
      <c r="Y19" s="112"/>
      <c r="Z19" s="112"/>
    </row>
    <row r="20" spans="1:26" ht="15" customHeight="1" x14ac:dyDescent="0.2">
      <c r="A20" s="7"/>
      <c r="C20" s="88" t="s">
        <v>17</v>
      </c>
      <c r="D20" s="223">
        <v>6.5</v>
      </c>
      <c r="F20" s="10" t="s">
        <v>184</v>
      </c>
      <c r="L20" s="303"/>
      <c r="M20" s="8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15" customHeight="1" x14ac:dyDescent="0.3">
      <c r="A21" s="7"/>
      <c r="C21" s="11" t="s">
        <v>88</v>
      </c>
      <c r="D21" s="93">
        <v>1</v>
      </c>
      <c r="F21" s="10" t="s">
        <v>185</v>
      </c>
      <c r="M21" s="8"/>
      <c r="N21" s="112"/>
      <c r="O21" s="113"/>
      <c r="P21" s="165" t="s">
        <v>14</v>
      </c>
      <c r="Q21" s="114"/>
      <c r="R21" s="112"/>
      <c r="S21" s="112"/>
      <c r="T21" s="112"/>
      <c r="U21" s="112"/>
      <c r="V21" s="113"/>
      <c r="W21" s="114"/>
      <c r="X21" s="112"/>
      <c r="Y21" s="112"/>
      <c r="Z21" s="112"/>
    </row>
    <row r="22" spans="1:26" ht="15" customHeight="1" thickBot="1" x14ac:dyDescent="0.35">
      <c r="A22" s="7"/>
      <c r="C22" s="11" t="s">
        <v>89</v>
      </c>
      <c r="D22" s="98">
        <f>D20 / D21</f>
        <v>6.5</v>
      </c>
      <c r="M22" s="8"/>
      <c r="N22" s="112"/>
      <c r="O22" s="166" t="s">
        <v>12</v>
      </c>
      <c r="P22" s="167" t="s">
        <v>21</v>
      </c>
      <c r="Q22" s="168" t="s">
        <v>20</v>
      </c>
      <c r="R22" s="112"/>
      <c r="S22" s="112"/>
      <c r="T22" s="112"/>
      <c r="U22" s="112"/>
      <c r="V22" s="169" t="s">
        <v>12</v>
      </c>
      <c r="W22" s="170" t="s">
        <v>20</v>
      </c>
      <c r="X22" s="112"/>
      <c r="Y22" s="112"/>
      <c r="Z22" s="112"/>
    </row>
    <row r="23" spans="1:26" ht="15" customHeight="1" x14ac:dyDescent="0.2">
      <c r="A23" s="7"/>
      <c r="M23" s="8"/>
      <c r="N23" s="112"/>
      <c r="O23" s="124">
        <f>'Site Ground Motions'!L21</f>
        <v>0</v>
      </c>
      <c r="P23" s="151" t="s">
        <v>43</v>
      </c>
      <c r="Q23" s="171">
        <f ca="1">D24</f>
        <v>0.10418383589743591</v>
      </c>
      <c r="R23" s="117"/>
      <c r="S23" s="117"/>
      <c r="T23" s="117"/>
      <c r="U23" s="117"/>
      <c r="V23" s="122">
        <f>O23</f>
        <v>0</v>
      </c>
      <c r="W23" s="172">
        <f ca="1">Q23</f>
        <v>0.10418383589743591</v>
      </c>
      <c r="X23" s="112"/>
      <c r="Y23" s="112"/>
      <c r="Z23" s="112"/>
    </row>
    <row r="24" spans="1:26" ht="15" customHeight="1" x14ac:dyDescent="0.3">
      <c r="A24" s="7"/>
      <c r="C24" s="88" t="s">
        <v>45</v>
      </c>
      <c r="D24" s="99">
        <f ca="1">C13 / D22</f>
        <v>0.10418383589743591</v>
      </c>
      <c r="F24" s="10" t="s">
        <v>90</v>
      </c>
      <c r="M24" s="8"/>
      <c r="N24" s="112"/>
      <c r="O24" s="122">
        <f ca="1">'Site Ground Motions'!L22</f>
        <v>0.15257054492630584</v>
      </c>
      <c r="P24" s="173">
        <f ca="1">'Site Ground Motions'!M22</f>
        <v>0.67719493333333336</v>
      </c>
      <c r="Q24" s="172">
        <f ca="1">P24 / $D$22</f>
        <v>0.10418383589743591</v>
      </c>
      <c r="R24" s="117"/>
      <c r="S24" s="117"/>
      <c r="T24" s="117"/>
      <c r="U24" s="117"/>
      <c r="V24" s="122">
        <f ca="1">O24</f>
        <v>0.15257054492630584</v>
      </c>
      <c r="W24" s="172">
        <f ca="1">Q24</f>
        <v>0.10418383589743591</v>
      </c>
      <c r="X24" s="112"/>
      <c r="Y24" s="112"/>
      <c r="Z24" s="112"/>
    </row>
    <row r="25" spans="1:26" ht="15" customHeight="1" x14ac:dyDescent="0.3">
      <c r="A25" s="7"/>
      <c r="C25" s="11" t="s">
        <v>94</v>
      </c>
      <c r="D25" s="99">
        <f ca="1">C14 / I13 / D22</f>
        <v>6.9110367892976601E-2</v>
      </c>
      <c r="F25" s="10" t="s">
        <v>91</v>
      </c>
      <c r="M25" s="8"/>
      <c r="N25" s="112"/>
      <c r="O25" s="122">
        <f ca="1">+IF(AND(D10="D",C14&gt;=0.2),1.5*'Site Ground Motions'!L23,'Site Ground Motions'!L23)</f>
        <v>1.1442790869472936</v>
      </c>
      <c r="P25" s="173">
        <f ca="1">'Site Ground Motions'!M23</f>
        <v>0.67719493333333336</v>
      </c>
      <c r="Q25" s="172">
        <f t="shared" ref="Q25:Q58" ca="1" si="0">P25 / $D$22</f>
        <v>0.10418383589743591</v>
      </c>
      <c r="R25" s="117"/>
      <c r="S25" s="117"/>
      <c r="T25" s="117"/>
      <c r="U25" s="117"/>
      <c r="V25" s="122">
        <f ca="1">O25</f>
        <v>1.1442790869472936</v>
      </c>
      <c r="W25" s="172">
        <f ca="1">Q25</f>
        <v>0.10418383589743591</v>
      </c>
      <c r="X25" s="112"/>
      <c r="Y25" s="112"/>
      <c r="Z25" s="112"/>
    </row>
    <row r="26" spans="1:26" ht="15" customHeight="1" x14ac:dyDescent="0.3">
      <c r="A26" s="7"/>
      <c r="C26" s="11" t="s">
        <v>94</v>
      </c>
      <c r="D26" s="99">
        <f ca="1">1.5*C14 / I13 / D22</f>
        <v>0.10366555183946491</v>
      </c>
      <c r="F26" s="10" t="s">
        <v>120</v>
      </c>
      <c r="M26" s="8"/>
      <c r="N26" s="112"/>
      <c r="O26" s="125">
        <f ca="1">ROUNDUP(O25 + 0.00001,1)</f>
        <v>1.2000000000000002</v>
      </c>
      <c r="P26" s="147">
        <f ca="1">IF(AND($D$10="D",$C$14&gt;=0.2),'Site Ground Motions'!O24,'Site Ground Motions'!M24)</f>
        <v>0.64575000000000005</v>
      </c>
      <c r="Q26" s="174">
        <f ca="1">P26 / $D$22</f>
        <v>9.9346153846153848E-2</v>
      </c>
      <c r="R26" s="117"/>
      <c r="S26" s="117"/>
      <c r="T26" s="117"/>
      <c r="U26" s="117"/>
      <c r="V26" s="125">
        <f t="shared" ref="V26:V58" ca="1" si="1">O26</f>
        <v>1.2000000000000002</v>
      </c>
      <c r="W26" s="174">
        <f ca="1">IF(AND($D$10="D",$C$14&gt;=0.2),IF(V26&lt;$F$15,IF($I$15&gt;0.6,MAX(0.044*$C$13*$D$21,0.5*$I$15/($D$20/$D$21),1.5*$C$14/V26/($D$20/$D$21)),MAX(0.044*$C$13*$D$21,1.5*$C$14/V26/($D$20/$D$21))),IF($I$15&gt;0.6,MAX(0.044*$C$13*$D$21,0.5*$I$15/($D$20/$D$21),1.5*$C$14*$F$15/V26^2/($D$20/$D$21)),MAX(0.044*$C$13*$D$21,1.5*$C$14*$F$15/V26^2/($D$20/$D$21)))),IF(V26&lt;$F$15,IF($I$15&gt;0.6,MAX(0.044*$C$13*$D$21,0.5*$I$15/($D$20/$D$21),$C$14/V26/($D$20/$D$21)),MAX(0.044*$C$13*$D$21,$C$14/V26/($D$20/$D$21))),IF($I$15&gt;0.6,MAX(0.044*$C$13*$D$21,0.5*$I$15/($D$20/$D$21),$C$14*$F$15/V26^2/($D$20/$D$21)),MAX(0.044*$C$13*$D$21,$C$14*$F$15/V26^2/($D$20/$D$21)))))</f>
        <v>9.9346153846153848E-2</v>
      </c>
      <c r="X26" s="112"/>
      <c r="Y26" s="112"/>
      <c r="Z26" s="112"/>
    </row>
    <row r="27" spans="1:26" ht="15" customHeight="1" x14ac:dyDescent="0.3">
      <c r="A27" s="7"/>
      <c r="C27" s="11" t="s">
        <v>94</v>
      </c>
      <c r="D27" s="99">
        <f ca="1">C14 * F15 / I13^2 / D22</f>
        <v>0.96153555329358764</v>
      </c>
      <c r="F27" s="10" t="s">
        <v>92</v>
      </c>
      <c r="M27" s="8"/>
      <c r="N27" s="112"/>
      <c r="O27" s="124">
        <f ca="1">+O26+0.1</f>
        <v>1.3000000000000003</v>
      </c>
      <c r="P27" s="151">
        <f ca="1">IF(AND($D$10="D",$C$14&gt;=0.2),'Site Ground Motions'!O25,'Site Ground Motions'!M25)</f>
        <v>0.59607692307692295</v>
      </c>
      <c r="Q27" s="171">
        <f ca="1">P27 / $D$22</f>
        <v>9.17041420118343E-2</v>
      </c>
      <c r="R27" s="117"/>
      <c r="S27" s="117"/>
      <c r="T27" s="117"/>
      <c r="U27" s="117"/>
      <c r="V27" s="124">
        <f t="shared" ca="1" si="1"/>
        <v>1.3000000000000003</v>
      </c>
      <c r="W27" s="171">
        <f t="shared" ref="W27:W58" ca="1" si="2">IF(AND($D$10="D",$C$14&gt;=0.2),IF(V27&lt;$F$15,IF($I$15&gt;0.6,MAX(0.044*$C$13*$D$21,0.5*$I$15/($D$20/$D$21),1.5*$C$14/V27/($D$20/$D$21)),MAX(0.044*$C$13*$D$21,1.5*$C$14/V27/($D$20/$D$21))),IF($I$15&gt;0.6,MAX(0.044*$C$13*$D$21,0.5*$I$15/($D$20/$D$21),1.5*$C$14*$F$15/V27^2/($D$20/$D$21)),MAX(0.044*$C$13*$D$21,1.5*$C$14*$F$15/V27^2/($D$20/$D$21)))),IF(V27&lt;$F$15,IF($I$15&gt;0.6,MAX(0.044*$C$13*$D$21,0.5*$I$15/($D$20/$D$21),$C$14/V27/($D$20/$D$21)),MAX(0.044*$C$13*$D$21,$C$14/V27/($D$20/$D$21))),IF($I$15&gt;0.6,MAX(0.044*$C$13*$D$21,0.5*$I$15/($D$20/$D$21),$C$14*$F$15/V27^2/($D$20/$D$21)),MAX(0.044*$C$13*$D$21,$C$14*$F$15/V27^2/($D$20/$D$21)))))</f>
        <v>9.1704142011834314E-2</v>
      </c>
      <c r="X27" s="112"/>
      <c r="Y27" s="112"/>
      <c r="Z27" s="112"/>
    </row>
    <row r="28" spans="1:26" ht="15" customHeight="1" x14ac:dyDescent="0.3">
      <c r="A28" s="7"/>
      <c r="C28" s="11" t="s">
        <v>94</v>
      </c>
      <c r="D28" s="99">
        <f ca="1">1.5*C14 * F15 / I13^2 / D22</f>
        <v>1.4423033299403814</v>
      </c>
      <c r="F28" s="10" t="s">
        <v>121</v>
      </c>
      <c r="M28" s="8"/>
      <c r="N28" s="112"/>
      <c r="O28" s="124">
        <f t="shared" ref="O28:O58" ca="1" si="3">+O27+0.1</f>
        <v>1.4000000000000004</v>
      </c>
      <c r="P28" s="151">
        <f ca="1">IF(AND($D$10="D",$C$14&gt;=0.2),'Site Ground Motions'!O26,'Site Ground Motions'!M26)</f>
        <v>0.55349999999999988</v>
      </c>
      <c r="Q28" s="171">
        <f ca="1">P28 / $D$22</f>
        <v>8.5153846153846136E-2</v>
      </c>
      <c r="R28" s="117"/>
      <c r="S28" s="117"/>
      <c r="T28" s="117"/>
      <c r="U28" s="117"/>
      <c r="V28" s="124">
        <f t="shared" ca="1" si="1"/>
        <v>1.4000000000000004</v>
      </c>
      <c r="W28" s="171">
        <f t="shared" ca="1" si="2"/>
        <v>8.5153846153846149E-2</v>
      </c>
      <c r="X28" s="112"/>
      <c r="Y28" s="112"/>
      <c r="Z28" s="112"/>
    </row>
    <row r="29" spans="1:26" ht="15" customHeight="1" x14ac:dyDescent="0.3">
      <c r="A29" s="7"/>
      <c r="C29" s="11" t="s">
        <v>94</v>
      </c>
      <c r="D29" s="99">
        <f ca="1">MAX(0.01,0.044 * C13 * D21)</f>
        <v>2.9796577066666666E-2</v>
      </c>
      <c r="F29" s="10" t="s">
        <v>110</v>
      </c>
      <c r="M29" s="8"/>
      <c r="N29" s="112"/>
      <c r="O29" s="124">
        <f t="shared" ca="1" si="3"/>
        <v>1.5000000000000004</v>
      </c>
      <c r="P29" s="151">
        <f ca="1">IF(AND($D$10="D",$C$14&gt;=0.2),'Site Ground Motions'!O27,'Site Ground Motions'!M27)</f>
        <v>0.51659999999999995</v>
      </c>
      <c r="Q29" s="171">
        <f t="shared" ca="1" si="0"/>
        <v>7.947692307692307E-2</v>
      </c>
      <c r="R29" s="117"/>
      <c r="S29" s="117"/>
      <c r="T29" s="117"/>
      <c r="U29" s="117"/>
      <c r="V29" s="124">
        <f t="shared" ca="1" si="1"/>
        <v>1.5000000000000004</v>
      </c>
      <c r="W29" s="171">
        <f t="shared" ca="1" si="2"/>
        <v>7.947692307692307E-2</v>
      </c>
      <c r="X29" s="112"/>
      <c r="Y29" s="112"/>
      <c r="Z29" s="112"/>
    </row>
    <row r="30" spans="1:26" ht="15" customHeight="1" x14ac:dyDescent="0.3">
      <c r="A30" s="7"/>
      <c r="C30" s="11" t="s">
        <v>94</v>
      </c>
      <c r="D30" s="100" t="str">
        <f>IF(I15 &lt; 0.6, "n/a", 0.5 * 'Site Ground Motions'!C13 / D22)</f>
        <v>n/a</v>
      </c>
      <c r="F30" s="10" t="s">
        <v>97</v>
      </c>
      <c r="M30" s="8"/>
      <c r="N30" s="112"/>
      <c r="O30" s="124">
        <f t="shared" ca="1" si="3"/>
        <v>1.6000000000000005</v>
      </c>
      <c r="P30" s="151">
        <f ca="1">IF(AND($D$10="D",$C$14&gt;=0.2),'Site Ground Motions'!O28,'Site Ground Motions'!M28)</f>
        <v>0.48431249999999987</v>
      </c>
      <c r="Q30" s="171">
        <f t="shared" ca="1" si="0"/>
        <v>7.4509615384615369E-2</v>
      </c>
      <c r="R30" s="117"/>
      <c r="S30" s="117"/>
      <c r="T30" s="117"/>
      <c r="U30" s="117"/>
      <c r="V30" s="124">
        <f t="shared" ca="1" si="1"/>
        <v>1.6000000000000005</v>
      </c>
      <c r="W30" s="171">
        <f t="shared" ca="1" si="2"/>
        <v>7.4509615384615369E-2</v>
      </c>
      <c r="X30" s="112"/>
      <c r="Y30" s="112"/>
      <c r="Z30" s="112"/>
    </row>
    <row r="31" spans="1:26" ht="15" customHeight="1" thickBot="1" x14ac:dyDescent="0.25">
      <c r="A31" s="7"/>
      <c r="D31" s="10"/>
      <c r="M31" s="8"/>
      <c r="N31" s="112"/>
      <c r="O31" s="124">
        <f t="shared" ca="1" si="3"/>
        <v>1.7000000000000006</v>
      </c>
      <c r="P31" s="151">
        <f ca="1">IF(AND($D$10="D",$C$14&gt;=0.2),'Site Ground Motions'!O29,'Site Ground Motions'!M29)</f>
        <v>0.45582352941176457</v>
      </c>
      <c r="Q31" s="171">
        <f t="shared" ca="1" si="0"/>
        <v>7.0126696832579161E-2</v>
      </c>
      <c r="R31" s="117"/>
      <c r="S31" s="117"/>
      <c r="T31" s="117"/>
      <c r="U31" s="117"/>
      <c r="V31" s="124">
        <f t="shared" ca="1" si="1"/>
        <v>1.7000000000000006</v>
      </c>
      <c r="W31" s="171">
        <f t="shared" ca="1" si="2"/>
        <v>7.0126696832579175E-2</v>
      </c>
      <c r="X31" s="112"/>
      <c r="Y31" s="112"/>
      <c r="Z31" s="112"/>
    </row>
    <row r="32" spans="1:26" ht="15" customHeight="1" thickBot="1" x14ac:dyDescent="0.3">
      <c r="A32" s="7"/>
      <c r="C32" s="91" t="s">
        <v>19</v>
      </c>
      <c r="D32" s="101">
        <f ca="1">O17</f>
        <v>0.10366555183946491</v>
      </c>
      <c r="E32" s="92"/>
      <c r="F32" s="6" t="s">
        <v>36</v>
      </c>
      <c r="G32" s="102">
        <f ca="1">D32</f>
        <v>0.10366555183946491</v>
      </c>
      <c r="M32" s="8"/>
      <c r="N32" s="112"/>
      <c r="O32" s="124">
        <f t="shared" ca="1" si="3"/>
        <v>1.8000000000000007</v>
      </c>
      <c r="P32" s="151">
        <f ca="1">IF(AND($D$10="D",$C$14&gt;=0.2),'Site Ground Motions'!O30,'Site Ground Motions'!M30)</f>
        <v>0.43049999999999988</v>
      </c>
      <c r="Q32" s="171">
        <f t="shared" ca="1" si="0"/>
        <v>6.6230769230769218E-2</v>
      </c>
      <c r="R32" s="117"/>
      <c r="S32" s="117"/>
      <c r="T32" s="117"/>
      <c r="U32" s="117"/>
      <c r="V32" s="124">
        <f t="shared" ca="1" si="1"/>
        <v>1.8000000000000007</v>
      </c>
      <c r="W32" s="171">
        <f t="shared" ca="1" si="2"/>
        <v>6.6230769230769218E-2</v>
      </c>
      <c r="X32" s="112"/>
      <c r="Y32" s="112"/>
      <c r="Z32" s="112"/>
    </row>
    <row r="33" spans="1:26" ht="15" customHeight="1" x14ac:dyDescent="0.2">
      <c r="A33" s="7"/>
      <c r="M33" s="8"/>
      <c r="N33" s="112"/>
      <c r="O33" s="124">
        <f t="shared" ca="1" si="3"/>
        <v>1.9000000000000008</v>
      </c>
      <c r="P33" s="151">
        <f ca="1">IF(AND($D$10="D",$C$14&gt;=0.2),'Site Ground Motions'!O31,'Site Ground Motions'!M31)</f>
        <v>0.40784210526315778</v>
      </c>
      <c r="Q33" s="171">
        <f t="shared" ca="1" si="0"/>
        <v>6.2744939271255046E-2</v>
      </c>
      <c r="R33" s="117"/>
      <c r="S33" s="117"/>
      <c r="T33" s="117"/>
      <c r="U33" s="117"/>
      <c r="V33" s="124">
        <f t="shared" ca="1" si="1"/>
        <v>1.9000000000000008</v>
      </c>
      <c r="W33" s="171">
        <f t="shared" ca="1" si="2"/>
        <v>6.2744939271255046E-2</v>
      </c>
      <c r="X33" s="112"/>
      <c r="Y33" s="112"/>
      <c r="Z33" s="112"/>
    </row>
    <row r="34" spans="1:26" ht="15" customHeight="1" x14ac:dyDescent="0.2">
      <c r="A34" s="7"/>
      <c r="M34" s="8"/>
      <c r="N34" s="112"/>
      <c r="O34" s="124">
        <f t="shared" ca="1" si="3"/>
        <v>2.0000000000000009</v>
      </c>
      <c r="P34" s="151">
        <f ca="1">IF(AND($D$10="D",$C$14&gt;=0.2),'Site Ground Motions'!O32,'Site Ground Motions'!M32)</f>
        <v>0.38744999999999985</v>
      </c>
      <c r="Q34" s="171">
        <f t="shared" ca="1" si="0"/>
        <v>5.9607692307692285E-2</v>
      </c>
      <c r="R34" s="117"/>
      <c r="S34" s="117"/>
      <c r="T34" s="117"/>
      <c r="U34" s="117"/>
      <c r="V34" s="124">
        <f t="shared" ca="1" si="1"/>
        <v>2.0000000000000009</v>
      </c>
      <c r="W34" s="171">
        <f t="shared" ca="1" si="2"/>
        <v>5.9607692307692292E-2</v>
      </c>
      <c r="X34" s="112"/>
      <c r="Y34" s="112"/>
      <c r="Z34" s="112"/>
    </row>
    <row r="35" spans="1:26" ht="15" customHeight="1" x14ac:dyDescent="0.2">
      <c r="A35" s="7"/>
      <c r="M35" s="8"/>
      <c r="N35" s="112"/>
      <c r="O35" s="124">
        <f t="shared" ca="1" si="3"/>
        <v>2.100000000000001</v>
      </c>
      <c r="P35" s="151">
        <f ca="1">IF(AND($D$10="D",$C$14&gt;=0.2),'Site Ground Motions'!O33,'Site Ground Motions'!M33)</f>
        <v>0.36899999999999988</v>
      </c>
      <c r="Q35" s="171">
        <f t="shared" ca="1" si="0"/>
        <v>5.6769230769230752E-2</v>
      </c>
      <c r="R35" s="117"/>
      <c r="S35" s="117"/>
      <c r="T35" s="117"/>
      <c r="U35" s="117"/>
      <c r="V35" s="124">
        <f t="shared" ca="1" si="1"/>
        <v>2.100000000000001</v>
      </c>
      <c r="W35" s="171">
        <f t="shared" ca="1" si="2"/>
        <v>5.6769230769230752E-2</v>
      </c>
      <c r="X35" s="112"/>
      <c r="Y35" s="112"/>
      <c r="Z35" s="112"/>
    </row>
    <row r="36" spans="1:26" ht="15" customHeight="1" x14ac:dyDescent="0.2">
      <c r="A36" s="7"/>
      <c r="M36" s="8"/>
      <c r="N36" s="112"/>
      <c r="O36" s="124">
        <f t="shared" ca="1" si="3"/>
        <v>2.2000000000000011</v>
      </c>
      <c r="P36" s="151">
        <f ca="1">IF(AND($D$10="D",$C$14&gt;=0.2),'Site Ground Motions'!O34,'Site Ground Motions'!M34)</f>
        <v>0.35222727272727261</v>
      </c>
      <c r="Q36" s="171">
        <f t="shared" ca="1" si="0"/>
        <v>5.4188811188811171E-2</v>
      </c>
      <c r="R36" s="117"/>
      <c r="S36" s="117"/>
      <c r="T36" s="117"/>
      <c r="U36" s="117"/>
      <c r="V36" s="124">
        <f t="shared" ca="1" si="1"/>
        <v>2.2000000000000011</v>
      </c>
      <c r="W36" s="171">
        <f t="shared" ca="1" si="2"/>
        <v>5.4188811188811171E-2</v>
      </c>
      <c r="X36" s="112"/>
      <c r="Y36" s="112"/>
      <c r="Z36" s="112"/>
    </row>
    <row r="37" spans="1:26" ht="15" customHeight="1" x14ac:dyDescent="0.2">
      <c r="A37" s="7"/>
      <c r="M37" s="8"/>
      <c r="N37" s="112"/>
      <c r="O37" s="124">
        <f t="shared" ca="1" si="3"/>
        <v>2.3000000000000012</v>
      </c>
      <c r="P37" s="151">
        <f ca="1">IF(AND($D$10="D",$C$14&gt;=0.2),'Site Ground Motions'!O35,'Site Ground Motions'!M35)</f>
        <v>0.33691304347826079</v>
      </c>
      <c r="Q37" s="171">
        <f t="shared" ca="1" si="0"/>
        <v>5.1832775919732427E-2</v>
      </c>
      <c r="R37" s="117"/>
      <c r="S37" s="117"/>
      <c r="T37" s="117"/>
      <c r="U37" s="117"/>
      <c r="V37" s="124">
        <f t="shared" ca="1" si="1"/>
        <v>2.3000000000000012</v>
      </c>
      <c r="W37" s="171">
        <f t="shared" ca="1" si="2"/>
        <v>5.1832775919732427E-2</v>
      </c>
      <c r="X37" s="112"/>
      <c r="Y37" s="112"/>
      <c r="Z37" s="112"/>
    </row>
    <row r="38" spans="1:26" ht="15" customHeight="1" x14ac:dyDescent="0.2">
      <c r="A38" s="7"/>
      <c r="M38" s="8"/>
      <c r="N38" s="112"/>
      <c r="O38" s="124">
        <f t="shared" ca="1" si="3"/>
        <v>2.4000000000000012</v>
      </c>
      <c r="P38" s="151">
        <f ca="1">IF(AND($D$10="D",$C$14&gt;=0.2),'Site Ground Motions'!O36,'Site Ground Motions'!M36)</f>
        <v>0.32287499999999986</v>
      </c>
      <c r="Q38" s="171">
        <f t="shared" ca="1" si="0"/>
        <v>4.9673076923076903E-2</v>
      </c>
      <c r="R38" s="117"/>
      <c r="S38" s="117"/>
      <c r="T38" s="117"/>
      <c r="U38" s="117"/>
      <c r="V38" s="124">
        <f t="shared" ca="1" si="1"/>
        <v>2.4000000000000012</v>
      </c>
      <c r="W38" s="171">
        <f t="shared" ca="1" si="2"/>
        <v>4.967307692307691E-2</v>
      </c>
      <c r="X38" s="112"/>
      <c r="Y38" s="112"/>
      <c r="Z38" s="112"/>
    </row>
    <row r="39" spans="1:26" ht="15" customHeight="1" x14ac:dyDescent="0.2">
      <c r="A39" s="7"/>
      <c r="M39" s="8"/>
      <c r="N39" s="112"/>
      <c r="O39" s="124">
        <f t="shared" ca="1" si="3"/>
        <v>2.5000000000000013</v>
      </c>
      <c r="P39" s="151">
        <f ca="1">IF(AND($D$10="D",$C$14&gt;=0.2),'Site Ground Motions'!O37,'Site Ground Motions'!M37)</f>
        <v>0.30995999999999985</v>
      </c>
      <c r="Q39" s="171">
        <f ca="1">P39 / $D$22</f>
        <v>4.7686153846153823E-2</v>
      </c>
      <c r="R39" s="117"/>
      <c r="S39" s="117"/>
      <c r="T39" s="117"/>
      <c r="U39" s="117"/>
      <c r="V39" s="124">
        <f t="shared" ca="1" si="1"/>
        <v>2.5000000000000013</v>
      </c>
      <c r="W39" s="171">
        <f t="shared" ca="1" si="2"/>
        <v>4.768615384615383E-2</v>
      </c>
      <c r="X39" s="112"/>
      <c r="Y39" s="112"/>
      <c r="Z39" s="112"/>
    </row>
    <row r="40" spans="1:26" ht="15" customHeight="1" x14ac:dyDescent="0.2">
      <c r="A40" s="7"/>
      <c r="M40" s="8"/>
      <c r="N40" s="112"/>
      <c r="O40" s="124">
        <f t="shared" ca="1" si="3"/>
        <v>2.6000000000000014</v>
      </c>
      <c r="P40" s="151">
        <f ca="1">IF(AND($D$10="D",$C$14&gt;=0.2),'Site Ground Motions'!O38,'Site Ground Motions'!M38)</f>
        <v>0.29803846153846142</v>
      </c>
      <c r="Q40" s="171">
        <f t="shared" ca="1" si="0"/>
        <v>4.5852071005917143E-2</v>
      </c>
      <c r="R40" s="117"/>
      <c r="S40" s="117"/>
      <c r="T40" s="117"/>
      <c r="U40" s="117"/>
      <c r="V40" s="124">
        <f t="shared" ca="1" si="1"/>
        <v>2.6000000000000014</v>
      </c>
      <c r="W40" s="171">
        <f t="shared" ca="1" si="2"/>
        <v>4.5852071005917143E-2</v>
      </c>
      <c r="X40" s="112"/>
      <c r="Y40" s="112"/>
      <c r="Z40" s="112"/>
    </row>
    <row r="41" spans="1:26" ht="15" customHeight="1" x14ac:dyDescent="0.2">
      <c r="A41" s="7"/>
      <c r="M41" s="8"/>
      <c r="N41" s="112"/>
      <c r="O41" s="124">
        <f t="shared" ca="1" si="3"/>
        <v>2.7000000000000015</v>
      </c>
      <c r="P41" s="151">
        <f ca="1">IF(AND($D$10="D",$C$14&gt;=0.2),'Site Ground Motions'!O39,'Site Ground Motions'!M39)</f>
        <v>0.28699999999999987</v>
      </c>
      <c r="Q41" s="171">
        <f t="shared" ca="1" si="0"/>
        <v>4.4153846153846134E-2</v>
      </c>
      <c r="R41" s="117"/>
      <c r="S41" s="117"/>
      <c r="T41" s="117"/>
      <c r="U41" s="117"/>
      <c r="V41" s="124">
        <f t="shared" ca="1" si="1"/>
        <v>2.7000000000000015</v>
      </c>
      <c r="W41" s="171">
        <f t="shared" ca="1" si="2"/>
        <v>4.4153846153846134E-2</v>
      </c>
      <c r="X41" s="112"/>
      <c r="Y41" s="112"/>
      <c r="Z41" s="112"/>
    </row>
    <row r="42" spans="1:26" ht="15" customHeight="1" x14ac:dyDescent="0.2">
      <c r="A42" s="7"/>
      <c r="M42" s="8"/>
      <c r="N42" s="112"/>
      <c r="O42" s="124">
        <f t="shared" ca="1" si="3"/>
        <v>2.8000000000000016</v>
      </c>
      <c r="P42" s="151">
        <f ca="1">IF(AND($D$10="D",$C$14&gt;=0.2),'Site Ground Motions'!O40,'Site Ground Motions'!M40)</f>
        <v>0.26720689655172403</v>
      </c>
      <c r="Q42" s="171">
        <f t="shared" ca="1" si="0"/>
        <v>4.1108753315649851E-2</v>
      </c>
      <c r="R42" s="117"/>
      <c r="S42" s="117"/>
      <c r="T42" s="117"/>
      <c r="U42" s="117"/>
      <c r="V42" s="124">
        <f t="shared" ca="1" si="1"/>
        <v>2.8000000000000016</v>
      </c>
      <c r="W42" s="171">
        <f t="shared" ca="1" si="2"/>
        <v>4.2576923076923061E-2</v>
      </c>
      <c r="X42" s="112"/>
      <c r="Y42" s="112"/>
      <c r="Z42" s="112"/>
    </row>
    <row r="43" spans="1:26" ht="15" customHeight="1" x14ac:dyDescent="0.2">
      <c r="A43" s="7"/>
      <c r="M43" s="8"/>
      <c r="N43" s="112"/>
      <c r="O43" s="124">
        <f t="shared" ca="1" si="3"/>
        <v>2.9000000000000017</v>
      </c>
      <c r="P43" s="151">
        <f ca="1">IF(AND($D$10="D",$C$14&gt;=0.2),'Site Ground Motions'!O41,'Site Ground Motions'!M41)</f>
        <v>0.24996774193548377</v>
      </c>
      <c r="Q43" s="171">
        <f t="shared" ca="1" si="0"/>
        <v>3.8456575682382116E-2</v>
      </c>
      <c r="R43" s="117"/>
      <c r="S43" s="117"/>
      <c r="T43" s="117"/>
      <c r="U43" s="117"/>
      <c r="V43" s="124">
        <f t="shared" ca="1" si="1"/>
        <v>2.9000000000000017</v>
      </c>
      <c r="W43" s="171">
        <f t="shared" ca="1" si="2"/>
        <v>4.1108753315649851E-2</v>
      </c>
      <c r="X43" s="112"/>
      <c r="Y43" s="112"/>
      <c r="Z43" s="112"/>
    </row>
    <row r="44" spans="1:26" ht="15" customHeight="1" x14ac:dyDescent="0.2">
      <c r="A44" s="7"/>
      <c r="M44" s="8"/>
      <c r="N44" s="112"/>
      <c r="O44" s="124">
        <f t="shared" ca="1" si="3"/>
        <v>3.0000000000000018</v>
      </c>
      <c r="P44" s="151">
        <f ca="1">IF(AND($D$10="D",$C$14&gt;=0.2),'Site Ground Motions'!O42,'Site Ground Motions'!M42)</f>
        <v>0.2348181818181817</v>
      </c>
      <c r="Q44" s="171">
        <f t="shared" ca="1" si="0"/>
        <v>3.6125874125874105E-2</v>
      </c>
      <c r="R44" s="117"/>
      <c r="S44" s="117"/>
      <c r="T44" s="117"/>
      <c r="U44" s="117"/>
      <c r="V44" s="124">
        <f t="shared" ca="1" si="1"/>
        <v>3.0000000000000018</v>
      </c>
      <c r="W44" s="171">
        <f t="shared" ca="1" si="2"/>
        <v>3.9738461538461528E-2</v>
      </c>
      <c r="X44" s="112"/>
      <c r="Y44" s="112"/>
      <c r="Z44" s="112"/>
    </row>
    <row r="45" spans="1:26" ht="15" customHeight="1" x14ac:dyDescent="0.2">
      <c r="A45" s="7"/>
      <c r="M45" s="8"/>
      <c r="N45" s="112"/>
      <c r="O45" s="124">
        <f t="shared" ca="1" si="3"/>
        <v>3.1000000000000019</v>
      </c>
      <c r="P45" s="151">
        <f ca="1">IF(AND($D$10="D",$C$14&gt;=0.2),'Site Ground Motions'!O43,'Site Ground Motions'!M43)</f>
        <v>0.22139999999999987</v>
      </c>
      <c r="Q45" s="171">
        <f t="shared" ca="1" si="0"/>
        <v>3.4061538461538442E-2</v>
      </c>
      <c r="R45" s="117"/>
      <c r="S45" s="117"/>
      <c r="T45" s="117"/>
      <c r="U45" s="117"/>
      <c r="V45" s="124">
        <f t="shared" ca="1" si="1"/>
        <v>3.1000000000000019</v>
      </c>
      <c r="W45" s="171">
        <f t="shared" ca="1" si="2"/>
        <v>3.8456575682382116E-2</v>
      </c>
      <c r="X45" s="112"/>
      <c r="Y45" s="112"/>
      <c r="Z45" s="112"/>
    </row>
    <row r="46" spans="1:26" ht="15" customHeight="1" x14ac:dyDescent="0.2">
      <c r="A46" s="7"/>
      <c r="M46" s="8"/>
      <c r="N46" s="112"/>
      <c r="O46" s="124">
        <f t="shared" ca="1" si="3"/>
        <v>3.200000000000002</v>
      </c>
      <c r="P46" s="151">
        <f ca="1">IF(AND($D$10="D",$C$14&gt;=0.2),'Site Ground Motions'!O44,'Site Ground Motions'!M44)</f>
        <v>0.20943243243243231</v>
      </c>
      <c r="Q46" s="171">
        <f t="shared" ca="1" si="0"/>
        <v>3.2220374220374201E-2</v>
      </c>
      <c r="R46" s="117"/>
      <c r="S46" s="117"/>
      <c r="T46" s="117"/>
      <c r="U46" s="117"/>
      <c r="V46" s="124">
        <f t="shared" ca="1" si="1"/>
        <v>3.200000000000002</v>
      </c>
      <c r="W46" s="171">
        <f t="shared" ca="1" si="2"/>
        <v>3.7254807692307677E-2</v>
      </c>
      <c r="X46" s="112"/>
      <c r="Y46" s="112"/>
      <c r="Z46" s="112"/>
    </row>
    <row r="47" spans="1:26" ht="15" customHeight="1" x14ac:dyDescent="0.2">
      <c r="A47" s="7"/>
      <c r="M47" s="8"/>
      <c r="N47" s="112"/>
      <c r="O47" s="124">
        <f t="shared" ca="1" si="3"/>
        <v>3.300000000000002</v>
      </c>
      <c r="P47" s="151">
        <f ca="1">IF(AND($D$10="D",$C$14&gt;=0.2),'Site Ground Motions'!O45,'Site Ground Motions'!M45)</f>
        <v>0.19869230769230756</v>
      </c>
      <c r="Q47" s="171">
        <f t="shared" ca="1" si="0"/>
        <v>3.0568047337278085E-2</v>
      </c>
      <c r="R47" s="117"/>
      <c r="S47" s="117"/>
      <c r="T47" s="117"/>
      <c r="U47" s="117"/>
      <c r="V47" s="124">
        <f t="shared" ca="1" si="1"/>
        <v>3.300000000000002</v>
      </c>
      <c r="W47" s="171">
        <f t="shared" ca="1" si="2"/>
        <v>3.6125874125874105E-2</v>
      </c>
      <c r="X47" s="112"/>
      <c r="Y47" s="112"/>
      <c r="Z47" s="112"/>
    </row>
    <row r="48" spans="1:26" ht="15" customHeight="1" x14ac:dyDescent="0.2">
      <c r="A48" s="7"/>
      <c r="M48" s="8"/>
      <c r="N48" s="112"/>
      <c r="O48" s="124">
        <f t="shared" ca="1" si="3"/>
        <v>3.4000000000000021</v>
      </c>
      <c r="P48" s="151">
        <f ca="1">IF(AND($D$10="D",$C$14&gt;=0.2),'Site Ground Motions'!O46,'Site Ground Motions'!M46)</f>
        <v>0.18899999999999992</v>
      </c>
      <c r="Q48" s="171">
        <f t="shared" ca="1" si="0"/>
        <v>2.9076923076923063E-2</v>
      </c>
      <c r="R48" s="117"/>
      <c r="S48" s="117"/>
      <c r="T48" s="117"/>
      <c r="U48" s="117"/>
      <c r="V48" s="124">
        <f t="shared" ca="1" si="1"/>
        <v>3.4000000000000021</v>
      </c>
      <c r="W48" s="171">
        <f t="shared" ca="1" si="2"/>
        <v>3.506334841628958E-2</v>
      </c>
      <c r="X48" s="112"/>
      <c r="Y48" s="112"/>
      <c r="Z48" s="112"/>
    </row>
    <row r="49" spans="1:26" ht="15" customHeight="1" x14ac:dyDescent="0.2">
      <c r="A49" s="7"/>
      <c r="M49" s="8"/>
      <c r="N49" s="112"/>
      <c r="O49" s="124">
        <f t="shared" ca="1" si="3"/>
        <v>3.5000000000000022</v>
      </c>
      <c r="P49" s="151">
        <f ca="1">IF(AND($D$10="D",$C$14&gt;=0.2),'Site Ground Motions'!O47,'Site Ground Motions'!M47)</f>
        <v>0.18020930232558133</v>
      </c>
      <c r="Q49" s="171">
        <f t="shared" ca="1" si="0"/>
        <v>2.7724508050089434E-2</v>
      </c>
      <c r="R49" s="117"/>
      <c r="S49" s="117"/>
      <c r="T49" s="117"/>
      <c r="U49" s="117"/>
      <c r="V49" s="124">
        <f t="shared" ca="1" si="1"/>
        <v>3.5000000000000022</v>
      </c>
      <c r="W49" s="171">
        <f t="shared" ca="1" si="2"/>
        <v>3.4061538461538449E-2</v>
      </c>
      <c r="X49" s="112"/>
      <c r="Y49" s="112"/>
      <c r="Z49" s="112"/>
    </row>
    <row r="50" spans="1:26" ht="15" customHeight="1" x14ac:dyDescent="0.2">
      <c r="A50" s="7"/>
      <c r="M50" s="8"/>
      <c r="N50" s="112"/>
      <c r="O50" s="124">
        <f t="shared" ca="1" si="3"/>
        <v>3.6000000000000023</v>
      </c>
      <c r="P50" s="151">
        <f ca="1">IF(AND($D$10="D",$C$14&gt;=0.2),'Site Ground Motions'!O48,'Site Ground Motions'!M48)</f>
        <v>0.17219999999999991</v>
      </c>
      <c r="Q50" s="171">
        <f t="shared" ca="1" si="0"/>
        <v>2.649230769230768E-2</v>
      </c>
      <c r="R50" s="117"/>
      <c r="S50" s="117"/>
      <c r="T50" s="117"/>
      <c r="U50" s="117"/>
      <c r="V50" s="124">
        <f t="shared" ca="1" si="1"/>
        <v>3.6000000000000023</v>
      </c>
      <c r="W50" s="171">
        <f t="shared" ca="1" si="2"/>
        <v>3.3115384615384602E-2</v>
      </c>
      <c r="X50" s="112"/>
      <c r="Y50" s="112"/>
      <c r="Z50" s="112"/>
    </row>
    <row r="51" spans="1:26" ht="15" customHeight="1" x14ac:dyDescent="0.2">
      <c r="A51" s="7"/>
      <c r="M51" s="8"/>
      <c r="N51" s="112"/>
      <c r="O51" s="124">
        <f t="shared" ca="1" si="3"/>
        <v>3.7000000000000024</v>
      </c>
      <c r="P51" s="151">
        <f ca="1">IF(AND($D$10="D",$C$14&gt;=0.2),'Site Ground Motions'!O49,'Site Ground Motions'!M49)</f>
        <v>0.16487234042553184</v>
      </c>
      <c r="Q51" s="171">
        <f t="shared" ca="1" si="0"/>
        <v>2.536497545008182E-2</v>
      </c>
      <c r="R51" s="117"/>
      <c r="S51" s="117"/>
      <c r="T51" s="117"/>
      <c r="U51" s="117"/>
      <c r="V51" s="124">
        <f t="shared" ca="1" si="1"/>
        <v>3.7000000000000024</v>
      </c>
      <c r="W51" s="171">
        <f t="shared" ca="1" si="2"/>
        <v>3.2220374220374208E-2</v>
      </c>
      <c r="X51" s="112"/>
      <c r="Y51" s="112"/>
      <c r="Z51" s="112"/>
    </row>
    <row r="52" spans="1:26" ht="15" customHeight="1" x14ac:dyDescent="0.2">
      <c r="A52" s="7"/>
      <c r="M52" s="8"/>
      <c r="N52" s="112"/>
      <c r="O52" s="124">
        <f t="shared" ca="1" si="3"/>
        <v>3.8000000000000025</v>
      </c>
      <c r="P52" s="151">
        <f ca="1">IF(AND($D$10="D",$C$14&gt;=0.2),'Site Ground Motions'!O50,'Site Ground Motions'!M50)</f>
        <v>0.15814285714285706</v>
      </c>
      <c r="Q52" s="171">
        <f t="shared" ca="1" si="0"/>
        <v>2.4329670329670317E-2</v>
      </c>
      <c r="R52" s="117"/>
      <c r="S52" s="117"/>
      <c r="T52" s="117"/>
      <c r="U52" s="117"/>
      <c r="V52" s="124">
        <f t="shared" ca="1" si="1"/>
        <v>3.8000000000000025</v>
      </c>
      <c r="W52" s="171">
        <f t="shared" ca="1" si="2"/>
        <v>3.1372469635627516E-2</v>
      </c>
      <c r="X52" s="112"/>
      <c r="Y52" s="112"/>
      <c r="Z52" s="112"/>
    </row>
    <row r="53" spans="1:26" ht="15" customHeight="1" x14ac:dyDescent="0.2">
      <c r="A53" s="7"/>
      <c r="M53" s="8"/>
      <c r="N53" s="112"/>
      <c r="O53" s="124">
        <f t="shared" ca="1" si="3"/>
        <v>3.9000000000000026</v>
      </c>
      <c r="P53" s="151">
        <f ca="1">IF(AND($D$10="D",$C$14&gt;=0.2),'Site Ground Motions'!O51,'Site Ground Motions'!M51)</f>
        <v>0.15194117647058816</v>
      </c>
      <c r="Q53" s="171">
        <f t="shared" ca="1" si="0"/>
        <v>2.3375565610859718E-2</v>
      </c>
      <c r="R53" s="117"/>
      <c r="S53" s="117"/>
      <c r="T53" s="117"/>
      <c r="U53" s="117"/>
      <c r="V53" s="124">
        <f t="shared" ca="1" si="1"/>
        <v>3.9000000000000026</v>
      </c>
      <c r="W53" s="171">
        <f t="shared" ca="1" si="2"/>
        <v>3.0568047337278088E-2</v>
      </c>
      <c r="X53" s="112"/>
      <c r="Y53" s="112"/>
      <c r="Z53" s="112"/>
    </row>
    <row r="54" spans="1:26" ht="15" customHeight="1" x14ac:dyDescent="0.2">
      <c r="A54" s="7"/>
      <c r="M54" s="8"/>
      <c r="N54" s="112"/>
      <c r="O54" s="124">
        <f t="shared" ca="1" si="3"/>
        <v>4.0000000000000027</v>
      </c>
      <c r="P54" s="151">
        <f ca="1">IF(AND($D$10="D",$C$14&gt;=0.2),'Site Ground Motions'!O52,'Site Ground Motions'!M52)</f>
        <v>0.14620754716981124</v>
      </c>
      <c r="Q54" s="171">
        <f t="shared" ca="1" si="0"/>
        <v>2.2493468795355576E-2</v>
      </c>
      <c r="R54" s="117"/>
      <c r="S54" s="117"/>
      <c r="T54" s="117"/>
      <c r="U54" s="117"/>
      <c r="V54" s="124">
        <f t="shared" ca="1" si="1"/>
        <v>4.0000000000000027</v>
      </c>
      <c r="W54" s="171">
        <f t="shared" ca="1" si="2"/>
        <v>2.9803846153846139E-2</v>
      </c>
      <c r="X54" s="112"/>
      <c r="Y54" s="112"/>
      <c r="Z54" s="112"/>
    </row>
    <row r="55" spans="1:26" ht="15" customHeight="1" x14ac:dyDescent="0.2">
      <c r="A55" s="7"/>
      <c r="C55" s="10"/>
      <c r="M55" s="8"/>
      <c r="N55" s="112"/>
      <c r="O55" s="124">
        <f t="shared" ca="1" si="3"/>
        <v>4.1000000000000023</v>
      </c>
      <c r="P55" s="151">
        <f ca="1">IF(AND($D$10="D",$C$14&gt;=0.2),'Site Ground Motions'!O53,'Site Ground Motions'!M53)</f>
        <v>0.14089090909090901</v>
      </c>
      <c r="Q55" s="171">
        <f t="shared" ca="1" si="0"/>
        <v>2.1675524475524462E-2</v>
      </c>
      <c r="R55" s="117"/>
      <c r="S55" s="117"/>
      <c r="T55" s="117"/>
      <c r="U55" s="117"/>
      <c r="V55" s="124">
        <f t="shared" ca="1" si="1"/>
        <v>4.1000000000000023</v>
      </c>
      <c r="W55" s="171">
        <f t="shared" ca="1" si="2"/>
        <v>2.9796577066666666E-2</v>
      </c>
      <c r="X55" s="112"/>
      <c r="Y55" s="112"/>
      <c r="Z55" s="112"/>
    </row>
    <row r="56" spans="1:26" ht="15" customHeight="1" x14ac:dyDescent="0.2">
      <c r="A56" s="7"/>
      <c r="M56" s="8"/>
      <c r="N56" s="112"/>
      <c r="O56" s="124">
        <f t="shared" ca="1" si="3"/>
        <v>4.200000000000002</v>
      </c>
      <c r="P56" s="151">
        <f ca="1">IF(AND($D$10="D",$C$14&gt;=0.2),'Site Ground Motions'!O54,'Site Ground Motions'!M54)</f>
        <v>0.13594736842105254</v>
      </c>
      <c r="Q56" s="171">
        <f t="shared" ca="1" si="0"/>
        <v>2.0914979757085006E-2</v>
      </c>
      <c r="R56" s="117"/>
      <c r="S56" s="117"/>
      <c r="T56" s="117"/>
      <c r="U56" s="117"/>
      <c r="V56" s="124">
        <f t="shared" ca="1" si="1"/>
        <v>4.200000000000002</v>
      </c>
      <c r="W56" s="171">
        <f t="shared" ca="1" si="2"/>
        <v>2.9796577066666666E-2</v>
      </c>
      <c r="X56" s="112"/>
      <c r="Y56" s="112"/>
      <c r="Z56" s="112"/>
    </row>
    <row r="57" spans="1:26" ht="15" customHeight="1" x14ac:dyDescent="0.2">
      <c r="A57" s="7"/>
      <c r="M57" s="8"/>
      <c r="N57" s="112"/>
      <c r="O57" s="124">
        <f t="shared" ca="1" si="3"/>
        <v>4.3000000000000016</v>
      </c>
      <c r="P57" s="151">
        <f ca="1">IF(AND($D$10="D",$C$14&gt;=0.2),'Site Ground Motions'!O55,'Site Ground Motions'!M55)</f>
        <v>0.13133898305084737</v>
      </c>
      <c r="Q57" s="171">
        <f ca="1">P57 / $D$22</f>
        <v>2.0205997392438058E-2</v>
      </c>
      <c r="R57" s="117"/>
      <c r="S57" s="117"/>
      <c r="T57" s="117"/>
      <c r="U57" s="117"/>
      <c r="V57" s="124">
        <f t="shared" ca="1" si="1"/>
        <v>4.3000000000000016</v>
      </c>
      <c r="W57" s="171">
        <f t="shared" ca="1" si="2"/>
        <v>2.9796577066666666E-2</v>
      </c>
      <c r="X57" s="112"/>
      <c r="Y57" s="112"/>
      <c r="Z57" s="112"/>
    </row>
    <row r="58" spans="1:26" ht="15" customHeight="1" x14ac:dyDescent="0.2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/>
      <c r="N58" s="112"/>
      <c r="O58" s="126">
        <f t="shared" ca="1" si="3"/>
        <v>4.4000000000000012</v>
      </c>
      <c r="P58" s="154">
        <f ca="1">IF(AND($D$10="D",$C$14&gt;=0.2),'Site Ground Motions'!O56,'Site Ground Motions'!M56)</f>
        <v>0.12703278688524583</v>
      </c>
      <c r="Q58" s="175">
        <f t="shared" ca="1" si="0"/>
        <v>1.9543505674653204E-2</v>
      </c>
      <c r="R58" s="117"/>
      <c r="S58" s="117"/>
      <c r="T58" s="117"/>
      <c r="U58" s="117"/>
      <c r="V58" s="126">
        <f t="shared" ca="1" si="1"/>
        <v>4.4000000000000012</v>
      </c>
      <c r="W58" s="175">
        <f t="shared" ca="1" si="2"/>
        <v>2.9796577066666666E-2</v>
      </c>
      <c r="X58" s="112"/>
      <c r="Y58" s="112"/>
      <c r="Z58" s="112"/>
    </row>
    <row r="59" spans="1:26" ht="15" customHeight="1" x14ac:dyDescent="0.2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ht="15" customHeight="1" x14ac:dyDescent="0.2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ht="15" customHeight="1" x14ac:dyDescent="0.2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ht="15" customHeight="1" x14ac:dyDescent="0.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76"/>
      <c r="W62" s="177"/>
      <c r="X62" s="112"/>
      <c r="Y62" s="112"/>
      <c r="Z62" s="112"/>
    </row>
    <row r="63" spans="1:26" ht="15" customHeight="1" x14ac:dyDescent="0.2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76"/>
      <c r="W63" s="177"/>
      <c r="X63" s="112"/>
      <c r="Y63" s="112"/>
      <c r="Z63" s="112"/>
    </row>
    <row r="64" spans="1:26" x14ac:dyDescent="0.2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76"/>
      <c r="W64" s="177"/>
      <c r="X64" s="112"/>
      <c r="Y64" s="112"/>
      <c r="Z64" s="112"/>
    </row>
    <row r="65" spans="1:26" x14ac:dyDescent="0.2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x14ac:dyDescent="0.2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76"/>
      <c r="W66" s="177"/>
      <c r="X66" s="112"/>
      <c r="Y66" s="112"/>
      <c r="Z66" s="112"/>
    </row>
    <row r="67" spans="1:26" x14ac:dyDescent="0.2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76"/>
      <c r="W67" s="177"/>
      <c r="X67" s="112"/>
      <c r="Y67" s="112"/>
      <c r="Z67" s="112"/>
    </row>
    <row r="68" spans="1:26" x14ac:dyDescent="0.2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76"/>
      <c r="P68" s="178"/>
      <c r="Q68" s="177"/>
      <c r="R68" s="112"/>
      <c r="S68" s="112"/>
      <c r="T68" s="112"/>
      <c r="U68" s="112"/>
      <c r="V68" s="176"/>
      <c r="W68" s="177"/>
      <c r="X68" s="112"/>
      <c r="Y68" s="112"/>
      <c r="Z68" s="112"/>
    </row>
    <row r="69" spans="1:26" x14ac:dyDescent="0.2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x14ac:dyDescent="0.2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x14ac:dyDescent="0.2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spans="1:26" s="112" customFormat="1" x14ac:dyDescent="0.2"/>
    <row r="73" spans="1:26" s="112" customFormat="1" x14ac:dyDescent="0.2"/>
    <row r="74" spans="1:26" s="112" customFormat="1" x14ac:dyDescent="0.2"/>
    <row r="75" spans="1:26" s="112" customFormat="1" x14ac:dyDescent="0.2"/>
    <row r="76" spans="1:26" s="112" customFormat="1" x14ac:dyDescent="0.2"/>
    <row r="77" spans="1:26" s="112" customFormat="1" x14ac:dyDescent="0.2"/>
    <row r="78" spans="1:26" s="112" customFormat="1" x14ac:dyDescent="0.2"/>
    <row r="79" spans="1:26" s="112" customFormat="1" x14ac:dyDescent="0.2"/>
    <row r="80" spans="1:26" s="112" customFormat="1" x14ac:dyDescent="0.2"/>
    <row r="81" s="112" customFormat="1" x14ac:dyDescent="0.2"/>
    <row r="82" s="112" customFormat="1" x14ac:dyDescent="0.2"/>
    <row r="83" s="112" customFormat="1" x14ac:dyDescent="0.2"/>
    <row r="84" s="112" customFormat="1" x14ac:dyDescent="0.2"/>
    <row r="85" s="112" customFormat="1" x14ac:dyDescent="0.2"/>
    <row r="86" s="112" customFormat="1" x14ac:dyDescent="0.2"/>
    <row r="87" s="112" customFormat="1" x14ac:dyDescent="0.2"/>
    <row r="88" s="112" customFormat="1" x14ac:dyDescent="0.2"/>
    <row r="89" s="112" customFormat="1" x14ac:dyDescent="0.2"/>
    <row r="90" s="112" customFormat="1" x14ac:dyDescent="0.2"/>
    <row r="91" s="112" customFormat="1" x14ac:dyDescent="0.2"/>
    <row r="92" s="112" customFormat="1" x14ac:dyDescent="0.2"/>
    <row r="93" s="112" customFormat="1" x14ac:dyDescent="0.2"/>
    <row r="94" s="112" customFormat="1" x14ac:dyDescent="0.2"/>
    <row r="95" s="112" customFormat="1" x14ac:dyDescent="0.2"/>
    <row r="96" s="112" customFormat="1" x14ac:dyDescent="0.2"/>
    <row r="97" s="112" customFormat="1" x14ac:dyDescent="0.2"/>
    <row r="98" s="112" customFormat="1" x14ac:dyDescent="0.2"/>
    <row r="99" s="112" customFormat="1" x14ac:dyDescent="0.2"/>
    <row r="100" s="112" customFormat="1" x14ac:dyDescent="0.2"/>
    <row r="101" s="112" customFormat="1" x14ac:dyDescent="0.2"/>
    <row r="102" s="112" customFormat="1" x14ac:dyDescent="0.2"/>
    <row r="103" s="112" customFormat="1" x14ac:dyDescent="0.2"/>
    <row r="104" s="112" customFormat="1" x14ac:dyDescent="0.2"/>
    <row r="105" s="112" customFormat="1" x14ac:dyDescent="0.2"/>
    <row r="106" s="112" customFormat="1" x14ac:dyDescent="0.2"/>
    <row r="107" s="112" customFormat="1" x14ac:dyDescent="0.2"/>
    <row r="108" s="112" customFormat="1" x14ac:dyDescent="0.2"/>
    <row r="109" s="112" customFormat="1" x14ac:dyDescent="0.2"/>
    <row r="110" s="112" customFormat="1" x14ac:dyDescent="0.2"/>
    <row r="111" s="112" customFormat="1" x14ac:dyDescent="0.2"/>
    <row r="112" s="112" customFormat="1" x14ac:dyDescent="0.2"/>
    <row r="113" s="112" customFormat="1" x14ac:dyDescent="0.2"/>
    <row r="114" s="112" customFormat="1" x14ac:dyDescent="0.2"/>
    <row r="115" s="112" customFormat="1" x14ac:dyDescent="0.2"/>
    <row r="116" s="112" customFormat="1" x14ac:dyDescent="0.2"/>
    <row r="117" s="112" customFormat="1" x14ac:dyDescent="0.2"/>
    <row r="118" s="112" customFormat="1" x14ac:dyDescent="0.2"/>
    <row r="119" s="112" customFormat="1" x14ac:dyDescent="0.2"/>
    <row r="120" s="112" customFormat="1" x14ac:dyDescent="0.2"/>
    <row r="121" s="112" customFormat="1" x14ac:dyDescent="0.2"/>
    <row r="122" s="112" customFormat="1" x14ac:dyDescent="0.2"/>
    <row r="123" s="112" customFormat="1" x14ac:dyDescent="0.2"/>
    <row r="124" s="112" customFormat="1" x14ac:dyDescent="0.2"/>
    <row r="125" s="112" customFormat="1" x14ac:dyDescent="0.2"/>
    <row r="126" s="112" customFormat="1" x14ac:dyDescent="0.2"/>
    <row r="127" s="112" customFormat="1" x14ac:dyDescent="0.2"/>
    <row r="128" s="112" customFormat="1" x14ac:dyDescent="0.2"/>
    <row r="129" s="112" customFormat="1" x14ac:dyDescent="0.2"/>
    <row r="130" s="112" customFormat="1" x14ac:dyDescent="0.2"/>
    <row r="131" s="112" customFormat="1" x14ac:dyDescent="0.2"/>
    <row r="132" s="112" customFormat="1" x14ac:dyDescent="0.2"/>
    <row r="133" s="112" customFormat="1" x14ac:dyDescent="0.2"/>
    <row r="134" s="112" customFormat="1" x14ac:dyDescent="0.2"/>
    <row r="135" s="112" customFormat="1" x14ac:dyDescent="0.2"/>
    <row r="136" s="112" customFormat="1" x14ac:dyDescent="0.2"/>
    <row r="137" s="112" customFormat="1" x14ac:dyDescent="0.2"/>
    <row r="138" s="112" customFormat="1" x14ac:dyDescent="0.2"/>
    <row r="139" s="112" customFormat="1" x14ac:dyDescent="0.2"/>
    <row r="140" s="112" customFormat="1" x14ac:dyDescent="0.2"/>
    <row r="141" s="112" customFormat="1" x14ac:dyDescent="0.2"/>
    <row r="142" s="112" customFormat="1" x14ac:dyDescent="0.2"/>
    <row r="143" s="112" customFormat="1" x14ac:dyDescent="0.2"/>
    <row r="144" s="112" customFormat="1" x14ac:dyDescent="0.2"/>
    <row r="145" s="112" customFormat="1" x14ac:dyDescent="0.2"/>
    <row r="146" s="112" customFormat="1" x14ac:dyDescent="0.2"/>
    <row r="147" s="112" customFormat="1" x14ac:dyDescent="0.2"/>
    <row r="148" s="112" customFormat="1" x14ac:dyDescent="0.2"/>
    <row r="149" s="112" customFormat="1" x14ac:dyDescent="0.2"/>
    <row r="150" s="112" customFormat="1" x14ac:dyDescent="0.2"/>
    <row r="151" s="112" customFormat="1" x14ac:dyDescent="0.2"/>
    <row r="152" s="112" customFormat="1" x14ac:dyDescent="0.2"/>
    <row r="153" s="112" customFormat="1" x14ac:dyDescent="0.2"/>
    <row r="154" s="112" customFormat="1" x14ac:dyDescent="0.2"/>
    <row r="155" s="112" customFormat="1" x14ac:dyDescent="0.2"/>
    <row r="156" s="112" customFormat="1" x14ac:dyDescent="0.2"/>
    <row r="157" s="112" customFormat="1" x14ac:dyDescent="0.2"/>
    <row r="158" s="112" customFormat="1" x14ac:dyDescent="0.2"/>
    <row r="159" s="112" customFormat="1" x14ac:dyDescent="0.2"/>
    <row r="160" s="112" customFormat="1" x14ac:dyDescent="0.2"/>
    <row r="161" s="112" customFormat="1" x14ac:dyDescent="0.2"/>
    <row r="162" s="112" customFormat="1" x14ac:dyDescent="0.2"/>
    <row r="163" s="112" customFormat="1" x14ac:dyDescent="0.2"/>
    <row r="164" s="112" customFormat="1" x14ac:dyDescent="0.2"/>
    <row r="165" s="112" customFormat="1" x14ac:dyDescent="0.2"/>
    <row r="166" s="112" customFormat="1" x14ac:dyDescent="0.2"/>
    <row r="167" s="112" customFormat="1" x14ac:dyDescent="0.2"/>
    <row r="168" s="112" customFormat="1" x14ac:dyDescent="0.2"/>
    <row r="169" s="112" customFormat="1" x14ac:dyDescent="0.2"/>
    <row r="170" s="112" customFormat="1" x14ac:dyDescent="0.2"/>
    <row r="171" s="112" customFormat="1" x14ac:dyDescent="0.2"/>
    <row r="172" s="112" customFormat="1" x14ac:dyDescent="0.2"/>
    <row r="173" s="112" customFormat="1" x14ac:dyDescent="0.2"/>
    <row r="174" s="112" customFormat="1" x14ac:dyDescent="0.2"/>
    <row r="175" s="112" customFormat="1" x14ac:dyDescent="0.2"/>
    <row r="176" s="112" customFormat="1" x14ac:dyDescent="0.2"/>
    <row r="177" s="112" customFormat="1" x14ac:dyDescent="0.2"/>
    <row r="178" s="112" customFormat="1" x14ac:dyDescent="0.2"/>
    <row r="179" s="112" customFormat="1" x14ac:dyDescent="0.2"/>
    <row r="180" s="112" customFormat="1" x14ac:dyDescent="0.2"/>
    <row r="181" s="112" customFormat="1" x14ac:dyDescent="0.2"/>
    <row r="182" s="112" customFormat="1" x14ac:dyDescent="0.2"/>
    <row r="183" s="112" customFormat="1" x14ac:dyDescent="0.2"/>
    <row r="184" s="112" customFormat="1" x14ac:dyDescent="0.2"/>
    <row r="185" s="112" customFormat="1" x14ac:dyDescent="0.2"/>
    <row r="186" s="112" customFormat="1" x14ac:dyDescent="0.2"/>
    <row r="187" s="112" customFormat="1" x14ac:dyDescent="0.2"/>
    <row r="188" s="112" customFormat="1" x14ac:dyDescent="0.2"/>
    <row r="189" s="112" customFormat="1" x14ac:dyDescent="0.2"/>
    <row r="190" s="112" customFormat="1" x14ac:dyDescent="0.2"/>
    <row r="191" s="112" customFormat="1" x14ac:dyDescent="0.2"/>
    <row r="192" s="112" customFormat="1" x14ac:dyDescent="0.2"/>
    <row r="193" s="112" customFormat="1" x14ac:dyDescent="0.2"/>
    <row r="194" s="112" customFormat="1" x14ac:dyDescent="0.2"/>
    <row r="195" s="112" customFormat="1" x14ac:dyDescent="0.2"/>
    <row r="196" s="112" customFormat="1" x14ac:dyDescent="0.2"/>
    <row r="197" s="112" customFormat="1" x14ac:dyDescent="0.2"/>
    <row r="198" s="112" customFormat="1" x14ac:dyDescent="0.2"/>
    <row r="199" s="112" customFormat="1" x14ac:dyDescent="0.2"/>
    <row r="200" s="112" customFormat="1" x14ac:dyDescent="0.2"/>
    <row r="201" s="112" customFormat="1" x14ac:dyDescent="0.2"/>
    <row r="202" s="112" customFormat="1" x14ac:dyDescent="0.2"/>
    <row r="203" s="112" customFormat="1" x14ac:dyDescent="0.2"/>
    <row r="204" s="112" customFormat="1" x14ac:dyDescent="0.2"/>
    <row r="205" s="112" customFormat="1" x14ac:dyDescent="0.2"/>
    <row r="206" s="112" customFormat="1" x14ac:dyDescent="0.2"/>
    <row r="207" s="112" customFormat="1" x14ac:dyDescent="0.2"/>
    <row r="208" s="112" customFormat="1" x14ac:dyDescent="0.2"/>
    <row r="209" s="112" customFormat="1" x14ac:dyDescent="0.2"/>
    <row r="210" s="112" customFormat="1" x14ac:dyDescent="0.2"/>
    <row r="211" s="112" customFormat="1" x14ac:dyDescent="0.2"/>
    <row r="212" s="112" customFormat="1" x14ac:dyDescent="0.2"/>
    <row r="213" s="112" customFormat="1" x14ac:dyDescent="0.2"/>
    <row r="214" s="112" customFormat="1" x14ac:dyDescent="0.2"/>
    <row r="215" s="112" customFormat="1" x14ac:dyDescent="0.2"/>
    <row r="216" s="112" customFormat="1" x14ac:dyDescent="0.2"/>
    <row r="217" s="112" customFormat="1" x14ac:dyDescent="0.2"/>
    <row r="218" s="112" customFormat="1" x14ac:dyDescent="0.2"/>
    <row r="219" s="112" customFormat="1" x14ac:dyDescent="0.2"/>
    <row r="220" s="112" customFormat="1" x14ac:dyDescent="0.2"/>
    <row r="221" s="112" customFormat="1" x14ac:dyDescent="0.2"/>
    <row r="222" s="112" customFormat="1" x14ac:dyDescent="0.2"/>
    <row r="223" s="112" customFormat="1" x14ac:dyDescent="0.2"/>
    <row r="224" s="112" customFormat="1" x14ac:dyDescent="0.2"/>
    <row r="225" s="112" customFormat="1" x14ac:dyDescent="0.2"/>
    <row r="226" s="112" customFormat="1" x14ac:dyDescent="0.2"/>
    <row r="227" s="112" customFormat="1" x14ac:dyDescent="0.2"/>
    <row r="228" s="112" customFormat="1" x14ac:dyDescent="0.2"/>
    <row r="229" s="112" customFormat="1" x14ac:dyDescent="0.2"/>
    <row r="230" s="112" customFormat="1" x14ac:dyDescent="0.2"/>
    <row r="231" s="112" customFormat="1" x14ac:dyDescent="0.2"/>
    <row r="232" s="112" customFormat="1" x14ac:dyDescent="0.2"/>
    <row r="233" s="112" customFormat="1" x14ac:dyDescent="0.2"/>
    <row r="234" s="112" customFormat="1" x14ac:dyDescent="0.2"/>
    <row r="235" s="112" customFormat="1" x14ac:dyDescent="0.2"/>
    <row r="236" s="112" customFormat="1" x14ac:dyDescent="0.2"/>
    <row r="237" s="112" customFormat="1" x14ac:dyDescent="0.2"/>
    <row r="238" s="112" customFormat="1" x14ac:dyDescent="0.2"/>
    <row r="239" s="112" customFormat="1" x14ac:dyDescent="0.2"/>
    <row r="240" s="112" customFormat="1" x14ac:dyDescent="0.2"/>
    <row r="241" s="112" customFormat="1" x14ac:dyDescent="0.2"/>
    <row r="242" s="112" customFormat="1" x14ac:dyDescent="0.2"/>
    <row r="243" s="112" customFormat="1" x14ac:dyDescent="0.2"/>
    <row r="244" s="112" customFormat="1" x14ac:dyDescent="0.2"/>
    <row r="245" s="112" customFormat="1" x14ac:dyDescent="0.2"/>
    <row r="246" s="112" customFormat="1" x14ac:dyDescent="0.2"/>
    <row r="247" s="112" customFormat="1" x14ac:dyDescent="0.2"/>
    <row r="248" s="112" customFormat="1" x14ac:dyDescent="0.2"/>
    <row r="249" s="112" customFormat="1" x14ac:dyDescent="0.2"/>
    <row r="250" s="112" customFormat="1" x14ac:dyDescent="0.2"/>
    <row r="251" s="112" customFormat="1" x14ac:dyDescent="0.2"/>
    <row r="252" s="112" customFormat="1" x14ac:dyDescent="0.2"/>
    <row r="253" s="112" customFormat="1" x14ac:dyDescent="0.2"/>
    <row r="254" s="112" customFormat="1" x14ac:dyDescent="0.2"/>
    <row r="255" s="112" customFormat="1" x14ac:dyDescent="0.2"/>
    <row r="256" s="112" customFormat="1" x14ac:dyDescent="0.2"/>
    <row r="257" s="112" customFormat="1" x14ac:dyDescent="0.2"/>
    <row r="258" s="112" customFormat="1" x14ac:dyDescent="0.2"/>
    <row r="259" s="112" customFormat="1" x14ac:dyDescent="0.2"/>
    <row r="260" s="112" customFormat="1" x14ac:dyDescent="0.2"/>
    <row r="261" s="112" customFormat="1" x14ac:dyDescent="0.2"/>
    <row r="262" s="112" customFormat="1" x14ac:dyDescent="0.2"/>
    <row r="263" s="112" customFormat="1" x14ac:dyDescent="0.2"/>
    <row r="264" s="112" customFormat="1" x14ac:dyDescent="0.2"/>
    <row r="265" s="112" customFormat="1" x14ac:dyDescent="0.2"/>
    <row r="266" s="112" customFormat="1" x14ac:dyDescent="0.2"/>
    <row r="267" s="112" customFormat="1" x14ac:dyDescent="0.2"/>
    <row r="268" s="112" customFormat="1" x14ac:dyDescent="0.2"/>
    <row r="269" s="112" customFormat="1" x14ac:dyDescent="0.2"/>
    <row r="270" s="112" customFormat="1" x14ac:dyDescent="0.2"/>
    <row r="271" s="112" customFormat="1" x14ac:dyDescent="0.2"/>
    <row r="272" s="112" customFormat="1" x14ac:dyDescent="0.2"/>
    <row r="273" s="112" customFormat="1" x14ac:dyDescent="0.2"/>
    <row r="274" s="112" customFormat="1" x14ac:dyDescent="0.2"/>
    <row r="275" s="112" customFormat="1" x14ac:dyDescent="0.2"/>
    <row r="276" s="112" customFormat="1" x14ac:dyDescent="0.2"/>
    <row r="277" s="112" customFormat="1" x14ac:dyDescent="0.2"/>
    <row r="278" s="112" customFormat="1" x14ac:dyDescent="0.2"/>
    <row r="279" s="112" customFormat="1" x14ac:dyDescent="0.2"/>
    <row r="280" s="112" customFormat="1" x14ac:dyDescent="0.2"/>
    <row r="281" s="112" customFormat="1" x14ac:dyDescent="0.2"/>
    <row r="282" s="112" customFormat="1" x14ac:dyDescent="0.2"/>
    <row r="283" s="112" customFormat="1" x14ac:dyDescent="0.2"/>
    <row r="284" s="112" customFormat="1" x14ac:dyDescent="0.2"/>
    <row r="285" s="112" customFormat="1" x14ac:dyDescent="0.2"/>
    <row r="286" s="112" customFormat="1" x14ac:dyDescent="0.2"/>
    <row r="287" s="112" customFormat="1" x14ac:dyDescent="0.2"/>
    <row r="288" s="112" customFormat="1" x14ac:dyDescent="0.2"/>
    <row r="289" s="112" customFormat="1" x14ac:dyDescent="0.2"/>
    <row r="290" s="112" customFormat="1" x14ac:dyDescent="0.2"/>
    <row r="291" s="112" customFormat="1" x14ac:dyDescent="0.2"/>
    <row r="292" s="112" customFormat="1" x14ac:dyDescent="0.2"/>
    <row r="293" s="112" customFormat="1" x14ac:dyDescent="0.2"/>
    <row r="294" s="112" customFormat="1" x14ac:dyDescent="0.2"/>
    <row r="295" s="112" customFormat="1" x14ac:dyDescent="0.2"/>
    <row r="296" s="112" customFormat="1" x14ac:dyDescent="0.2"/>
    <row r="297" s="112" customFormat="1" x14ac:dyDescent="0.2"/>
    <row r="298" s="112" customFormat="1" x14ac:dyDescent="0.2"/>
    <row r="299" s="112" customFormat="1" x14ac:dyDescent="0.2"/>
    <row r="300" s="112" customFormat="1" x14ac:dyDescent="0.2"/>
    <row r="301" s="112" customFormat="1" x14ac:dyDescent="0.2"/>
    <row r="302" s="112" customFormat="1" x14ac:dyDescent="0.2"/>
    <row r="303" s="112" customFormat="1" x14ac:dyDescent="0.2"/>
    <row r="304" s="112" customFormat="1" x14ac:dyDescent="0.2"/>
    <row r="305" s="112" customFormat="1" x14ac:dyDescent="0.2"/>
    <row r="306" s="112" customFormat="1" x14ac:dyDescent="0.2"/>
    <row r="307" s="112" customFormat="1" x14ac:dyDescent="0.2"/>
    <row r="308" s="112" customFormat="1" x14ac:dyDescent="0.2"/>
    <row r="309" s="112" customFormat="1" x14ac:dyDescent="0.2"/>
    <row r="310" s="112" customFormat="1" x14ac:dyDescent="0.2"/>
    <row r="311" s="112" customFormat="1" x14ac:dyDescent="0.2"/>
    <row r="312" s="112" customFormat="1" x14ac:dyDescent="0.2"/>
    <row r="313" s="112" customFormat="1" x14ac:dyDescent="0.2"/>
    <row r="314" s="112" customFormat="1" x14ac:dyDescent="0.2"/>
    <row r="315" s="112" customFormat="1" x14ac:dyDescent="0.2"/>
    <row r="316" s="112" customFormat="1" x14ac:dyDescent="0.2"/>
    <row r="317" s="112" customFormat="1" x14ac:dyDescent="0.2"/>
    <row r="318" s="112" customFormat="1" x14ac:dyDescent="0.2"/>
    <row r="319" s="112" customFormat="1" x14ac:dyDescent="0.2"/>
    <row r="320" s="112" customFormat="1" x14ac:dyDescent="0.2"/>
    <row r="321" s="112" customFormat="1" x14ac:dyDescent="0.2"/>
    <row r="322" s="112" customFormat="1" x14ac:dyDescent="0.2"/>
    <row r="323" s="112" customFormat="1" x14ac:dyDescent="0.2"/>
    <row r="324" s="112" customFormat="1" x14ac:dyDescent="0.2"/>
    <row r="325" s="112" customFormat="1" x14ac:dyDescent="0.2"/>
    <row r="326" s="112" customFormat="1" x14ac:dyDescent="0.2"/>
    <row r="327" s="112" customFormat="1" x14ac:dyDescent="0.2"/>
    <row r="328" s="112" customFormat="1" x14ac:dyDescent="0.2"/>
    <row r="329" s="112" customFormat="1" x14ac:dyDescent="0.2"/>
    <row r="330" s="112" customFormat="1" x14ac:dyDescent="0.2"/>
    <row r="331" s="112" customFormat="1" x14ac:dyDescent="0.2"/>
    <row r="332" s="112" customFormat="1" x14ac:dyDescent="0.2"/>
    <row r="333" s="112" customFormat="1" x14ac:dyDescent="0.2"/>
    <row r="334" s="112" customFormat="1" x14ac:dyDescent="0.2"/>
    <row r="335" s="112" customFormat="1" x14ac:dyDescent="0.2"/>
    <row r="336" s="112" customFormat="1" x14ac:dyDescent="0.2"/>
    <row r="337" s="112" customFormat="1" x14ac:dyDescent="0.2"/>
    <row r="338" s="112" customFormat="1" x14ac:dyDescent="0.2"/>
    <row r="339" s="112" customFormat="1" x14ac:dyDescent="0.2"/>
    <row r="340" s="112" customFormat="1" x14ac:dyDescent="0.2"/>
    <row r="341" s="112" customFormat="1" x14ac:dyDescent="0.2"/>
    <row r="342" s="112" customFormat="1" x14ac:dyDescent="0.2"/>
    <row r="343" s="112" customFormat="1" x14ac:dyDescent="0.2"/>
    <row r="344" s="112" customFormat="1" x14ac:dyDescent="0.2"/>
    <row r="345" s="112" customFormat="1" x14ac:dyDescent="0.2"/>
    <row r="346" s="112" customFormat="1" x14ac:dyDescent="0.2"/>
    <row r="347" s="112" customFormat="1" x14ac:dyDescent="0.2"/>
    <row r="348" s="112" customFormat="1" x14ac:dyDescent="0.2"/>
    <row r="349" s="112" customFormat="1" x14ac:dyDescent="0.2"/>
    <row r="350" s="112" customFormat="1" x14ac:dyDescent="0.2"/>
    <row r="351" s="112" customFormat="1" x14ac:dyDescent="0.2"/>
    <row r="352" s="112" customFormat="1" x14ac:dyDescent="0.2"/>
    <row r="353" s="112" customFormat="1" x14ac:dyDescent="0.2"/>
    <row r="354" s="112" customFormat="1" x14ac:dyDescent="0.2"/>
    <row r="355" s="112" customFormat="1" x14ac:dyDescent="0.2"/>
    <row r="356" s="112" customFormat="1" x14ac:dyDescent="0.2"/>
    <row r="357" s="112" customFormat="1" x14ac:dyDescent="0.2"/>
    <row r="358" s="112" customFormat="1" x14ac:dyDescent="0.2"/>
    <row r="359" s="112" customFormat="1" x14ac:dyDescent="0.2"/>
    <row r="360" s="112" customFormat="1" x14ac:dyDescent="0.2"/>
    <row r="361" s="112" customFormat="1" x14ac:dyDescent="0.2"/>
    <row r="362" s="112" customFormat="1" x14ac:dyDescent="0.2"/>
    <row r="363" s="112" customFormat="1" x14ac:dyDescent="0.2"/>
    <row r="364" s="112" customFormat="1" x14ac:dyDescent="0.2"/>
    <row r="365" s="112" customFormat="1" x14ac:dyDescent="0.2"/>
    <row r="366" s="112" customFormat="1" x14ac:dyDescent="0.2"/>
    <row r="367" s="112" customFormat="1" x14ac:dyDescent="0.2"/>
    <row r="368" s="112" customFormat="1" x14ac:dyDescent="0.2"/>
    <row r="369" s="112" customFormat="1" x14ac:dyDescent="0.2"/>
    <row r="370" s="112" customFormat="1" x14ac:dyDescent="0.2"/>
    <row r="371" s="112" customFormat="1" x14ac:dyDescent="0.2"/>
    <row r="372" s="112" customFormat="1" x14ac:dyDescent="0.2"/>
    <row r="373" s="112" customFormat="1" x14ac:dyDescent="0.2"/>
    <row r="374" s="112" customFormat="1" x14ac:dyDescent="0.2"/>
    <row r="375" s="112" customFormat="1" x14ac:dyDescent="0.2"/>
    <row r="376" s="112" customFormat="1" x14ac:dyDescent="0.2"/>
    <row r="377" s="112" customFormat="1" x14ac:dyDescent="0.2"/>
    <row r="378" s="112" customFormat="1" x14ac:dyDescent="0.2"/>
    <row r="379" s="112" customFormat="1" x14ac:dyDescent="0.2"/>
    <row r="380" s="112" customFormat="1" x14ac:dyDescent="0.2"/>
    <row r="381" s="112" customFormat="1" x14ac:dyDescent="0.2"/>
    <row r="382" s="112" customFormat="1" x14ac:dyDescent="0.2"/>
    <row r="383" s="112" customFormat="1" x14ac:dyDescent="0.2"/>
    <row r="384" s="112" customFormat="1" x14ac:dyDescent="0.2"/>
    <row r="385" s="112" customFormat="1" x14ac:dyDescent="0.2"/>
    <row r="386" s="112" customFormat="1" x14ac:dyDescent="0.2"/>
    <row r="387" s="112" customFormat="1" x14ac:dyDescent="0.2"/>
    <row r="388" s="112" customFormat="1" x14ac:dyDescent="0.2"/>
    <row r="389" s="112" customFormat="1" x14ac:dyDescent="0.2"/>
    <row r="390" s="112" customFormat="1" x14ac:dyDescent="0.2"/>
    <row r="391" s="112" customFormat="1" x14ac:dyDescent="0.2"/>
    <row r="392" s="112" customFormat="1" x14ac:dyDescent="0.2"/>
    <row r="393" s="112" customFormat="1" x14ac:dyDescent="0.2"/>
    <row r="394" s="112" customFormat="1" x14ac:dyDescent="0.2"/>
    <row r="395" s="112" customFormat="1" x14ac:dyDescent="0.2"/>
    <row r="396" s="112" customFormat="1" x14ac:dyDescent="0.2"/>
    <row r="397" s="112" customFormat="1" x14ac:dyDescent="0.2"/>
    <row r="398" s="112" customFormat="1" x14ac:dyDescent="0.2"/>
    <row r="399" s="112" customFormat="1" x14ac:dyDescent="0.2"/>
    <row r="400" s="112" customFormat="1" x14ac:dyDescent="0.2"/>
    <row r="401" s="112" customFormat="1" x14ac:dyDescent="0.2"/>
    <row r="402" s="112" customFormat="1" x14ac:dyDescent="0.2"/>
    <row r="403" s="112" customFormat="1" x14ac:dyDescent="0.2"/>
    <row r="404" s="112" customFormat="1" x14ac:dyDescent="0.2"/>
    <row r="405" s="112" customFormat="1" x14ac:dyDescent="0.2"/>
    <row r="406" s="112" customFormat="1" x14ac:dyDescent="0.2"/>
    <row r="407" s="112" customFormat="1" x14ac:dyDescent="0.2"/>
    <row r="408" s="112" customFormat="1" x14ac:dyDescent="0.2"/>
    <row r="409" s="112" customFormat="1" x14ac:dyDescent="0.2"/>
    <row r="410" s="112" customFormat="1" x14ac:dyDescent="0.2"/>
    <row r="411" s="112" customFormat="1" x14ac:dyDescent="0.2"/>
    <row r="412" s="112" customFormat="1" x14ac:dyDescent="0.2"/>
    <row r="413" s="112" customFormat="1" x14ac:dyDescent="0.2"/>
    <row r="414" s="112" customFormat="1" x14ac:dyDescent="0.2"/>
    <row r="415" s="112" customFormat="1" x14ac:dyDescent="0.2"/>
    <row r="416" s="112" customFormat="1" x14ac:dyDescent="0.2"/>
    <row r="417" s="112" customFormat="1" x14ac:dyDescent="0.2"/>
    <row r="418" s="112" customFormat="1" x14ac:dyDescent="0.2"/>
    <row r="419" s="112" customFormat="1" x14ac:dyDescent="0.2"/>
    <row r="420" s="112" customFormat="1" x14ac:dyDescent="0.2"/>
    <row r="421" s="112" customFormat="1" x14ac:dyDescent="0.2"/>
    <row r="422" s="112" customFormat="1" x14ac:dyDescent="0.2"/>
    <row r="423" s="112" customFormat="1" x14ac:dyDescent="0.2"/>
    <row r="424" s="112" customFormat="1" x14ac:dyDescent="0.2"/>
    <row r="425" s="112" customFormat="1" x14ac:dyDescent="0.2"/>
    <row r="426" s="112" customFormat="1" x14ac:dyDescent="0.2"/>
    <row r="427" s="112" customFormat="1" x14ac:dyDescent="0.2"/>
    <row r="428" s="112" customFormat="1" x14ac:dyDescent="0.2"/>
    <row r="429" s="112" customFormat="1" x14ac:dyDescent="0.2"/>
    <row r="430" s="112" customFormat="1" x14ac:dyDescent="0.2"/>
    <row r="431" s="112" customFormat="1" x14ac:dyDescent="0.2"/>
    <row r="432" s="112" customFormat="1" x14ac:dyDescent="0.2"/>
    <row r="433" s="112" customFormat="1" x14ac:dyDescent="0.2"/>
    <row r="434" s="112" customFormat="1" x14ac:dyDescent="0.2"/>
    <row r="435" s="112" customFormat="1" x14ac:dyDescent="0.2"/>
    <row r="436" s="112" customFormat="1" x14ac:dyDescent="0.2"/>
    <row r="437" s="112" customFormat="1" x14ac:dyDescent="0.2"/>
    <row r="438" s="112" customFormat="1" x14ac:dyDescent="0.2"/>
    <row r="439" s="112" customFormat="1" x14ac:dyDescent="0.2"/>
    <row r="440" s="112" customFormat="1" x14ac:dyDescent="0.2"/>
    <row r="441" s="112" customFormat="1" x14ac:dyDescent="0.2"/>
    <row r="442" s="112" customFormat="1" x14ac:dyDescent="0.2"/>
    <row r="443" s="112" customFormat="1" x14ac:dyDescent="0.2"/>
    <row r="444" s="112" customFormat="1" x14ac:dyDescent="0.2"/>
    <row r="445" s="112" customFormat="1" x14ac:dyDescent="0.2"/>
    <row r="446" s="112" customFormat="1" x14ac:dyDescent="0.2"/>
    <row r="447" s="112" customFormat="1" x14ac:dyDescent="0.2"/>
    <row r="448" s="112" customFormat="1" x14ac:dyDescent="0.2"/>
    <row r="449" s="112" customFormat="1" x14ac:dyDescent="0.2"/>
    <row r="450" s="112" customFormat="1" x14ac:dyDescent="0.2"/>
    <row r="451" s="112" customFormat="1" x14ac:dyDescent="0.2"/>
    <row r="452" s="112" customFormat="1" x14ac:dyDescent="0.2"/>
    <row r="453" s="112" customFormat="1" x14ac:dyDescent="0.2"/>
    <row r="454" s="112" customFormat="1" x14ac:dyDescent="0.2"/>
    <row r="455" s="112" customFormat="1" x14ac:dyDescent="0.2"/>
    <row r="456" s="112" customFormat="1" x14ac:dyDescent="0.2"/>
    <row r="457" s="112" customFormat="1" x14ac:dyDescent="0.2"/>
    <row r="458" s="112" customFormat="1" x14ac:dyDescent="0.2"/>
    <row r="459" s="112" customFormat="1" x14ac:dyDescent="0.2"/>
    <row r="460" s="112" customFormat="1" x14ac:dyDescent="0.2"/>
    <row r="461" s="112" customFormat="1" x14ac:dyDescent="0.2"/>
    <row r="462" s="112" customFormat="1" x14ac:dyDescent="0.2"/>
    <row r="463" s="112" customFormat="1" x14ac:dyDescent="0.2"/>
    <row r="464" s="112" customFormat="1" x14ac:dyDescent="0.2"/>
    <row r="465" s="112" customFormat="1" x14ac:dyDescent="0.2"/>
    <row r="466" s="112" customFormat="1" x14ac:dyDescent="0.2"/>
    <row r="467" s="112" customFormat="1" x14ac:dyDescent="0.2"/>
    <row r="468" s="112" customFormat="1" x14ac:dyDescent="0.2"/>
    <row r="469" s="112" customFormat="1" x14ac:dyDescent="0.2"/>
    <row r="470" s="112" customFormat="1" x14ac:dyDescent="0.2"/>
    <row r="471" s="112" customFormat="1" x14ac:dyDescent="0.2"/>
    <row r="472" s="112" customFormat="1" x14ac:dyDescent="0.2"/>
    <row r="473" s="112" customFormat="1" x14ac:dyDescent="0.2"/>
    <row r="474" s="112" customFormat="1" x14ac:dyDescent="0.2"/>
    <row r="475" s="112" customFormat="1" x14ac:dyDescent="0.2"/>
    <row r="476" s="112" customFormat="1" x14ac:dyDescent="0.2"/>
    <row r="477" s="112" customFormat="1" x14ac:dyDescent="0.2"/>
    <row r="478" s="112" customFormat="1" x14ac:dyDescent="0.2"/>
    <row r="479" s="112" customFormat="1" x14ac:dyDescent="0.2"/>
    <row r="480" s="112" customFormat="1" x14ac:dyDescent="0.2"/>
    <row r="481" s="112" customFormat="1" x14ac:dyDescent="0.2"/>
    <row r="482" s="112" customFormat="1" x14ac:dyDescent="0.2"/>
    <row r="483" s="112" customFormat="1" x14ac:dyDescent="0.2"/>
    <row r="484" s="112" customFormat="1" x14ac:dyDescent="0.2"/>
    <row r="485" s="112" customFormat="1" x14ac:dyDescent="0.2"/>
    <row r="486" s="112" customFormat="1" x14ac:dyDescent="0.2"/>
    <row r="487" s="112" customFormat="1" x14ac:dyDescent="0.2"/>
    <row r="488" s="112" customFormat="1" x14ac:dyDescent="0.2"/>
    <row r="489" s="112" customFormat="1" x14ac:dyDescent="0.2"/>
    <row r="490" s="112" customFormat="1" x14ac:dyDescent="0.2"/>
    <row r="491" s="112" customFormat="1" x14ac:dyDescent="0.2"/>
    <row r="492" s="112" customFormat="1" x14ac:dyDescent="0.2"/>
    <row r="493" s="112" customFormat="1" x14ac:dyDescent="0.2"/>
    <row r="494" s="112" customFormat="1" x14ac:dyDescent="0.2"/>
    <row r="495" s="112" customFormat="1" x14ac:dyDescent="0.2"/>
    <row r="496" s="112" customFormat="1" x14ac:dyDescent="0.2"/>
    <row r="497" s="112" customFormat="1" x14ac:dyDescent="0.2"/>
    <row r="498" s="112" customFormat="1" x14ac:dyDescent="0.2"/>
    <row r="499" s="112" customFormat="1" x14ac:dyDescent="0.2"/>
    <row r="500" s="112" customFormat="1" x14ac:dyDescent="0.2"/>
    <row r="501" s="112" customFormat="1" x14ac:dyDescent="0.2"/>
    <row r="502" s="112" customFormat="1" x14ac:dyDescent="0.2"/>
    <row r="503" s="112" customFormat="1" x14ac:dyDescent="0.2"/>
    <row r="504" s="112" customFormat="1" x14ac:dyDescent="0.2"/>
    <row r="505" s="112" customFormat="1" x14ac:dyDescent="0.2"/>
    <row r="506" s="112" customFormat="1" x14ac:dyDescent="0.2"/>
    <row r="507" s="112" customFormat="1" x14ac:dyDescent="0.2"/>
    <row r="508" s="112" customFormat="1" x14ac:dyDescent="0.2"/>
    <row r="509" s="112" customFormat="1" x14ac:dyDescent="0.2"/>
    <row r="510" s="112" customFormat="1" x14ac:dyDescent="0.2"/>
    <row r="511" s="112" customFormat="1" x14ac:dyDescent="0.2"/>
    <row r="512" s="112" customFormat="1" x14ac:dyDescent="0.2"/>
    <row r="513" s="112" customFormat="1" x14ac:dyDescent="0.2"/>
    <row r="514" s="112" customFormat="1" x14ac:dyDescent="0.2"/>
    <row r="515" s="112" customFormat="1" x14ac:dyDescent="0.2"/>
    <row r="516" s="112" customFormat="1" x14ac:dyDescent="0.2"/>
    <row r="517" s="112" customFormat="1" x14ac:dyDescent="0.2"/>
    <row r="518" s="112" customFormat="1" x14ac:dyDescent="0.2"/>
    <row r="519" s="112" customFormat="1" x14ac:dyDescent="0.2"/>
    <row r="520" s="112" customFormat="1" x14ac:dyDescent="0.2"/>
    <row r="521" s="112" customFormat="1" x14ac:dyDescent="0.2"/>
    <row r="522" s="112" customFormat="1" x14ac:dyDescent="0.2"/>
    <row r="523" s="112" customFormat="1" x14ac:dyDescent="0.2"/>
    <row r="524" s="112" customFormat="1" x14ac:dyDescent="0.2"/>
    <row r="525" s="112" customFormat="1" x14ac:dyDescent="0.2"/>
    <row r="526" s="112" customFormat="1" x14ac:dyDescent="0.2"/>
    <row r="527" s="112" customFormat="1" x14ac:dyDescent="0.2"/>
    <row r="528" s="112" customFormat="1" x14ac:dyDescent="0.2"/>
    <row r="529" s="112" customFormat="1" x14ac:dyDescent="0.2"/>
    <row r="530" s="112" customFormat="1" x14ac:dyDescent="0.2"/>
    <row r="531" s="112" customFormat="1" x14ac:dyDescent="0.2"/>
    <row r="532" s="112" customFormat="1" x14ac:dyDescent="0.2"/>
    <row r="533" s="112" customFormat="1" x14ac:dyDescent="0.2"/>
    <row r="534" s="112" customFormat="1" x14ac:dyDescent="0.2"/>
    <row r="535" s="112" customFormat="1" x14ac:dyDescent="0.2"/>
    <row r="536" s="112" customFormat="1" x14ac:dyDescent="0.2"/>
    <row r="537" s="112" customFormat="1" x14ac:dyDescent="0.2"/>
    <row r="538" s="112" customFormat="1" x14ac:dyDescent="0.2"/>
    <row r="539" s="112" customFormat="1" x14ac:dyDescent="0.2"/>
    <row r="540" s="112" customFormat="1" x14ac:dyDescent="0.2"/>
    <row r="541" s="112" customFormat="1" x14ac:dyDescent="0.2"/>
    <row r="542" s="112" customFormat="1" x14ac:dyDescent="0.2"/>
    <row r="543" s="112" customFormat="1" x14ac:dyDescent="0.2"/>
    <row r="544" s="112" customFormat="1" x14ac:dyDescent="0.2"/>
    <row r="545" s="112" customFormat="1" x14ac:dyDescent="0.2"/>
    <row r="546" s="112" customFormat="1" x14ac:dyDescent="0.2"/>
    <row r="547" s="112" customFormat="1" x14ac:dyDescent="0.2"/>
    <row r="548" s="112" customFormat="1" x14ac:dyDescent="0.2"/>
    <row r="549" s="112" customFormat="1" x14ac:dyDescent="0.2"/>
    <row r="550" s="112" customFormat="1" x14ac:dyDescent="0.2"/>
    <row r="551" s="112" customFormat="1" x14ac:dyDescent="0.2"/>
    <row r="552" s="112" customFormat="1" x14ac:dyDescent="0.2"/>
    <row r="553" s="112" customFormat="1" x14ac:dyDescent="0.2"/>
    <row r="554" s="112" customFormat="1" x14ac:dyDescent="0.2"/>
    <row r="555" s="112" customFormat="1" x14ac:dyDescent="0.2"/>
    <row r="556" s="112" customFormat="1" x14ac:dyDescent="0.2"/>
    <row r="557" s="112" customFormat="1" x14ac:dyDescent="0.2"/>
    <row r="558" s="112" customFormat="1" x14ac:dyDescent="0.2"/>
    <row r="559" s="112" customFormat="1" x14ac:dyDescent="0.2"/>
    <row r="560" s="112" customFormat="1" x14ac:dyDescent="0.2"/>
    <row r="561" s="112" customFormat="1" x14ac:dyDescent="0.2"/>
    <row r="562" s="112" customFormat="1" x14ac:dyDescent="0.2"/>
    <row r="563" s="112" customFormat="1" x14ac:dyDescent="0.2"/>
    <row r="564" s="112" customFormat="1" x14ac:dyDescent="0.2"/>
    <row r="565" s="112" customFormat="1" x14ac:dyDescent="0.2"/>
    <row r="566" s="112" customFormat="1" x14ac:dyDescent="0.2"/>
    <row r="567" s="112" customFormat="1" x14ac:dyDescent="0.2"/>
    <row r="568" s="112" customFormat="1" x14ac:dyDescent="0.2"/>
    <row r="569" s="112" customFormat="1" x14ac:dyDescent="0.2"/>
    <row r="570" s="112" customFormat="1" x14ac:dyDescent="0.2"/>
    <row r="571" s="112" customFormat="1" x14ac:dyDescent="0.2"/>
    <row r="572" s="112" customFormat="1" x14ac:dyDescent="0.2"/>
    <row r="573" s="112" customFormat="1" x14ac:dyDescent="0.2"/>
    <row r="574" s="112" customFormat="1" x14ac:dyDescent="0.2"/>
    <row r="575" s="112" customFormat="1" x14ac:dyDescent="0.2"/>
    <row r="576" s="112" customFormat="1" x14ac:dyDescent="0.2"/>
    <row r="577" s="112" customFormat="1" x14ac:dyDescent="0.2"/>
    <row r="578" s="112" customFormat="1" x14ac:dyDescent="0.2"/>
    <row r="579" s="112" customFormat="1" x14ac:dyDescent="0.2"/>
    <row r="580" s="112" customFormat="1" x14ac:dyDescent="0.2"/>
    <row r="581" s="112" customFormat="1" x14ac:dyDescent="0.2"/>
    <row r="582" s="112" customFormat="1" x14ac:dyDescent="0.2"/>
    <row r="583" s="112" customFormat="1" x14ac:dyDescent="0.2"/>
    <row r="584" s="112" customFormat="1" x14ac:dyDescent="0.2"/>
    <row r="585" s="112" customFormat="1" x14ac:dyDescent="0.2"/>
    <row r="586" s="112" customFormat="1" x14ac:dyDescent="0.2"/>
    <row r="587" s="112" customFormat="1" x14ac:dyDescent="0.2"/>
    <row r="588" s="112" customFormat="1" x14ac:dyDescent="0.2"/>
    <row r="589" s="112" customFormat="1" x14ac:dyDescent="0.2"/>
    <row r="590" s="112" customFormat="1" x14ac:dyDescent="0.2"/>
    <row r="591" s="112" customFormat="1" x14ac:dyDescent="0.2"/>
    <row r="592" s="112" customFormat="1" x14ac:dyDescent="0.2"/>
    <row r="593" s="112" customFormat="1" x14ac:dyDescent="0.2"/>
    <row r="594" s="112" customFormat="1" x14ac:dyDescent="0.2"/>
    <row r="595" s="112" customFormat="1" x14ac:dyDescent="0.2"/>
    <row r="596" s="112" customFormat="1" x14ac:dyDescent="0.2"/>
    <row r="597" s="112" customFormat="1" x14ac:dyDescent="0.2"/>
    <row r="598" s="112" customFormat="1" x14ac:dyDescent="0.2"/>
    <row r="599" s="112" customFormat="1" x14ac:dyDescent="0.2"/>
    <row r="600" s="112" customFormat="1" x14ac:dyDescent="0.2"/>
    <row r="601" s="112" customFormat="1" x14ac:dyDescent="0.2"/>
    <row r="602" s="112" customFormat="1" x14ac:dyDescent="0.2"/>
    <row r="603" s="112" customFormat="1" x14ac:dyDescent="0.2"/>
    <row r="604" s="112" customFormat="1" x14ac:dyDescent="0.2"/>
    <row r="605" s="112" customFormat="1" x14ac:dyDescent="0.2"/>
    <row r="606" s="112" customFormat="1" x14ac:dyDescent="0.2"/>
    <row r="607" s="112" customFormat="1" x14ac:dyDescent="0.2"/>
    <row r="608" s="112" customFormat="1" x14ac:dyDescent="0.2"/>
    <row r="609" s="112" customFormat="1" x14ac:dyDescent="0.2"/>
    <row r="610" s="112" customFormat="1" x14ac:dyDescent="0.2"/>
    <row r="611" s="112" customFormat="1" x14ac:dyDescent="0.2"/>
    <row r="612" s="112" customFormat="1" x14ac:dyDescent="0.2"/>
    <row r="613" s="112" customFormat="1" x14ac:dyDescent="0.2"/>
    <row r="614" s="112" customFormat="1" x14ac:dyDescent="0.2"/>
    <row r="615" s="112" customFormat="1" x14ac:dyDescent="0.2"/>
    <row r="616" s="112" customFormat="1" x14ac:dyDescent="0.2"/>
    <row r="617" s="112" customFormat="1" x14ac:dyDescent="0.2"/>
    <row r="618" s="112" customFormat="1" x14ac:dyDescent="0.2"/>
    <row r="619" s="112" customFormat="1" x14ac:dyDescent="0.2"/>
    <row r="620" s="112" customFormat="1" x14ac:dyDescent="0.2"/>
    <row r="621" s="112" customFormat="1" x14ac:dyDescent="0.2"/>
    <row r="622" s="112" customFormat="1" x14ac:dyDescent="0.2"/>
    <row r="623" s="112" customFormat="1" x14ac:dyDescent="0.2"/>
    <row r="624" s="112" customFormat="1" x14ac:dyDescent="0.2"/>
    <row r="625" s="112" customFormat="1" x14ac:dyDescent="0.2"/>
    <row r="626" s="112" customFormat="1" x14ac:dyDescent="0.2"/>
    <row r="627" s="112" customFormat="1" x14ac:dyDescent="0.2"/>
    <row r="628" s="112" customFormat="1" x14ac:dyDescent="0.2"/>
    <row r="629" s="112" customFormat="1" x14ac:dyDescent="0.2"/>
    <row r="630" s="112" customFormat="1" x14ac:dyDescent="0.2"/>
    <row r="631" s="112" customFormat="1" x14ac:dyDescent="0.2"/>
    <row r="632" s="112" customFormat="1" x14ac:dyDescent="0.2"/>
    <row r="633" s="112" customFormat="1" x14ac:dyDescent="0.2"/>
    <row r="634" s="112" customFormat="1" x14ac:dyDescent="0.2"/>
    <row r="635" s="112" customFormat="1" x14ac:dyDescent="0.2"/>
    <row r="636" s="112" customFormat="1" x14ac:dyDescent="0.2"/>
    <row r="637" s="112" customFormat="1" x14ac:dyDescent="0.2"/>
    <row r="638" s="112" customFormat="1" x14ac:dyDescent="0.2"/>
    <row r="639" s="112" customFormat="1" x14ac:dyDescent="0.2"/>
    <row r="640" s="112" customFormat="1" x14ac:dyDescent="0.2"/>
    <row r="641" s="112" customFormat="1" x14ac:dyDescent="0.2"/>
    <row r="642" s="112" customFormat="1" x14ac:dyDescent="0.2"/>
    <row r="643" s="112" customFormat="1" x14ac:dyDescent="0.2"/>
    <row r="644" s="112" customFormat="1" x14ac:dyDescent="0.2"/>
    <row r="645" s="112" customFormat="1" x14ac:dyDescent="0.2"/>
    <row r="646" s="112" customFormat="1" x14ac:dyDescent="0.2"/>
    <row r="647" s="112" customFormat="1" x14ac:dyDescent="0.2"/>
    <row r="648" s="112" customFormat="1" x14ac:dyDescent="0.2"/>
    <row r="649" s="112" customFormat="1" x14ac:dyDescent="0.2"/>
    <row r="650" s="112" customFormat="1" x14ac:dyDescent="0.2"/>
    <row r="651" s="112" customFormat="1" x14ac:dyDescent="0.2"/>
    <row r="652" s="112" customFormat="1" x14ac:dyDescent="0.2"/>
    <row r="653" s="112" customFormat="1" x14ac:dyDescent="0.2"/>
    <row r="654" s="112" customFormat="1" x14ac:dyDescent="0.2"/>
    <row r="655" s="112" customFormat="1" x14ac:dyDescent="0.2"/>
    <row r="656" s="112" customFormat="1" x14ac:dyDescent="0.2"/>
    <row r="657" s="112" customFormat="1" x14ac:dyDescent="0.2"/>
    <row r="658" s="112" customFormat="1" x14ac:dyDescent="0.2"/>
    <row r="659" s="112" customFormat="1" x14ac:dyDescent="0.2"/>
    <row r="660" s="112" customFormat="1" x14ac:dyDescent="0.2"/>
    <row r="661" s="112" customFormat="1" x14ac:dyDescent="0.2"/>
    <row r="662" s="112" customFormat="1" x14ac:dyDescent="0.2"/>
    <row r="663" s="112" customFormat="1" x14ac:dyDescent="0.2"/>
    <row r="664" s="112" customFormat="1" x14ac:dyDescent="0.2"/>
    <row r="665" s="112" customFormat="1" x14ac:dyDescent="0.2"/>
    <row r="666" s="112" customFormat="1" x14ac:dyDescent="0.2"/>
    <row r="667" s="112" customFormat="1" x14ac:dyDescent="0.2"/>
    <row r="668" s="112" customFormat="1" x14ac:dyDescent="0.2"/>
    <row r="669" s="112" customFormat="1" x14ac:dyDescent="0.2"/>
    <row r="670" s="112" customFormat="1" x14ac:dyDescent="0.2"/>
    <row r="671" s="112" customFormat="1" x14ac:dyDescent="0.2"/>
    <row r="672" s="112" customFormat="1" x14ac:dyDescent="0.2"/>
    <row r="673" s="112" customFormat="1" x14ac:dyDescent="0.2"/>
    <row r="674" s="112" customFormat="1" x14ac:dyDescent="0.2"/>
    <row r="675" s="112" customFormat="1" x14ac:dyDescent="0.2"/>
    <row r="676" s="112" customFormat="1" x14ac:dyDescent="0.2"/>
    <row r="677" s="112" customFormat="1" x14ac:dyDescent="0.2"/>
    <row r="678" s="112" customFormat="1" x14ac:dyDescent="0.2"/>
    <row r="679" s="112" customFormat="1" x14ac:dyDescent="0.2"/>
    <row r="680" s="112" customFormat="1" x14ac:dyDescent="0.2"/>
    <row r="681" s="112" customFormat="1" x14ac:dyDescent="0.2"/>
    <row r="682" s="112" customFormat="1" x14ac:dyDescent="0.2"/>
    <row r="683" s="112" customFormat="1" x14ac:dyDescent="0.2"/>
    <row r="684" s="112" customFormat="1" x14ac:dyDescent="0.2"/>
    <row r="685" s="112" customFormat="1" x14ac:dyDescent="0.2"/>
    <row r="686" s="112" customFormat="1" x14ac:dyDescent="0.2"/>
    <row r="687" s="112" customFormat="1" x14ac:dyDescent="0.2"/>
    <row r="688" s="112" customFormat="1" x14ac:dyDescent="0.2"/>
    <row r="689" s="112" customFormat="1" x14ac:dyDescent="0.2"/>
    <row r="690" s="112" customFormat="1" x14ac:dyDescent="0.2"/>
    <row r="691" s="112" customFormat="1" x14ac:dyDescent="0.2"/>
    <row r="692" s="112" customFormat="1" x14ac:dyDescent="0.2"/>
    <row r="693" s="112" customFormat="1" x14ac:dyDescent="0.2"/>
    <row r="694" s="112" customFormat="1" x14ac:dyDescent="0.2"/>
    <row r="695" s="112" customFormat="1" x14ac:dyDescent="0.2"/>
    <row r="696" s="112" customFormat="1" x14ac:dyDescent="0.2"/>
    <row r="697" s="112" customFormat="1" x14ac:dyDescent="0.2"/>
    <row r="698" s="112" customFormat="1" x14ac:dyDescent="0.2"/>
    <row r="699" s="112" customFormat="1" x14ac:dyDescent="0.2"/>
    <row r="700" s="112" customFormat="1" x14ac:dyDescent="0.2"/>
    <row r="701" s="112" customFormat="1" x14ac:dyDescent="0.2"/>
    <row r="702" s="112" customFormat="1" x14ac:dyDescent="0.2"/>
    <row r="703" s="112" customFormat="1" x14ac:dyDescent="0.2"/>
    <row r="704" s="112" customFormat="1" x14ac:dyDescent="0.2"/>
    <row r="705" s="112" customFormat="1" x14ac:dyDescent="0.2"/>
    <row r="706" s="112" customFormat="1" x14ac:dyDescent="0.2"/>
    <row r="707" s="112" customFormat="1" x14ac:dyDescent="0.2"/>
    <row r="708" s="112" customFormat="1" x14ac:dyDescent="0.2"/>
    <row r="709" s="112" customFormat="1" x14ac:dyDescent="0.2"/>
    <row r="710" s="112" customFormat="1" x14ac:dyDescent="0.2"/>
    <row r="711" s="112" customFormat="1" x14ac:dyDescent="0.2"/>
    <row r="712" s="112" customFormat="1" x14ac:dyDescent="0.2"/>
    <row r="713" s="112" customFormat="1" x14ac:dyDescent="0.2"/>
    <row r="714" s="112" customFormat="1" x14ac:dyDescent="0.2"/>
    <row r="715" s="112" customFormat="1" x14ac:dyDescent="0.2"/>
    <row r="716" s="112" customFormat="1" x14ac:dyDescent="0.2"/>
    <row r="717" s="112" customFormat="1" x14ac:dyDescent="0.2"/>
    <row r="718" s="112" customFormat="1" x14ac:dyDescent="0.2"/>
    <row r="719" s="112" customFormat="1" x14ac:dyDescent="0.2"/>
    <row r="720" s="112" customFormat="1" x14ac:dyDescent="0.2"/>
    <row r="721" s="112" customFormat="1" x14ac:dyDescent="0.2"/>
    <row r="722" s="112" customFormat="1" x14ac:dyDescent="0.2"/>
  </sheetData>
  <mergeCells count="8">
    <mergeCell ref="P7:V7"/>
    <mergeCell ref="E4:J4"/>
    <mergeCell ref="E3:J3"/>
    <mergeCell ref="E2:J2"/>
    <mergeCell ref="E1:J1"/>
    <mergeCell ref="O4:V4"/>
    <mergeCell ref="P5:V5"/>
    <mergeCell ref="P6:V6"/>
  </mergeCells>
  <phoneticPr fontId="0" type="noConversion"/>
  <pageMargins left="0.7" right="0.7" top="0.75" bottom="0.75" header="0.3" footer="0.3"/>
  <pageSetup scale="77" orientation="portrait" r:id="rId1"/>
  <headerFooter alignWithMargins="0"/>
  <ignoredErrors>
    <ignoredError sqref="O14:O15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B7EB-F330-45AA-8A4D-01FC412C1697}">
  <sheetPr>
    <pageSetUpPr fitToPage="1"/>
  </sheetPr>
  <dimension ref="A1:Z760"/>
  <sheetViews>
    <sheetView zoomScaleNormal="100" workbookViewId="0">
      <selection activeCell="E33" sqref="E33"/>
    </sheetView>
  </sheetViews>
  <sheetFormatPr defaultColWidth="9.140625" defaultRowHeight="9.75" x14ac:dyDescent="0.15"/>
  <cols>
    <col min="1" max="5" width="8.5703125" style="36" customWidth="1"/>
    <col min="6" max="6" width="9.5703125" style="36" bestFit="1" customWidth="1"/>
    <col min="7" max="8" width="8.5703125" style="36" customWidth="1"/>
    <col min="9" max="9" width="9.28515625" style="36" customWidth="1"/>
    <col min="10" max="10" width="9.42578125" style="36" customWidth="1"/>
    <col min="11" max="11" width="9.28515625" style="36" customWidth="1"/>
    <col min="12" max="13" width="11.42578125" style="36" customWidth="1"/>
    <col min="14" max="14" width="8.5703125" style="27" customWidth="1"/>
    <col min="15" max="22" width="11.42578125" style="27" customWidth="1"/>
    <col min="23" max="23" width="15.5703125" style="27" bestFit="1" customWidth="1"/>
    <col min="24" max="24" width="11.42578125" style="27" customWidth="1"/>
    <col min="25" max="26" width="8.5703125" style="27" customWidth="1"/>
    <col min="27" max="16384" width="9.140625" style="27"/>
  </cols>
  <sheetData>
    <row r="1" spans="1:26" ht="15" customHeight="1" x14ac:dyDescent="0.25">
      <c r="A1" s="22"/>
      <c r="B1" s="23"/>
      <c r="C1" s="23"/>
      <c r="D1" s="23"/>
      <c r="E1" s="198" t="s">
        <v>131</v>
      </c>
      <c r="F1" s="338" t="str">
        <f>+IF('Site Ground Motions'!E1="","",'Site Ground Motions'!E1)</f>
        <v/>
      </c>
      <c r="G1" s="339"/>
      <c r="H1" s="339"/>
      <c r="I1" s="339"/>
      <c r="J1" s="340"/>
      <c r="K1" s="220" t="s">
        <v>132</v>
      </c>
      <c r="L1" s="207" t="str">
        <f>+IF('Site Ground Motions'!I1="","",'Site Ground Motions'!I1)</f>
        <v/>
      </c>
      <c r="M1" s="199" t="s">
        <v>133</v>
      </c>
      <c r="N1" s="24"/>
      <c r="O1" s="25" t="s">
        <v>134</v>
      </c>
      <c r="P1" s="26"/>
      <c r="Q1" s="24"/>
      <c r="R1" s="24"/>
      <c r="S1" s="24"/>
      <c r="T1" s="24"/>
      <c r="U1" s="24"/>
      <c r="V1" s="24"/>
      <c r="W1" s="205" t="s">
        <v>178</v>
      </c>
      <c r="X1" s="206">
        <f>'Site Ground Motions'!X1</f>
        <v>2.1</v>
      </c>
      <c r="Y1" s="24"/>
      <c r="Z1" s="24"/>
    </row>
    <row r="2" spans="1:26" ht="15" customHeight="1" x14ac:dyDescent="0.2">
      <c r="A2" s="28"/>
      <c r="B2" s="29"/>
      <c r="C2" s="29"/>
      <c r="D2" s="29"/>
      <c r="E2" s="198" t="s">
        <v>135</v>
      </c>
      <c r="F2" s="338" t="str">
        <f>+IF('Site Ground Motions'!E2="","",'Site Ground Motions'!E2)</f>
        <v/>
      </c>
      <c r="G2" s="339"/>
      <c r="H2" s="339"/>
      <c r="I2" s="339"/>
      <c r="J2" s="340"/>
      <c r="K2" s="220" t="s">
        <v>136</v>
      </c>
      <c r="L2" s="221" t="str">
        <f>+IF('Site Ground Motions'!I2="","",'Site Ground Motions'!I2)</f>
        <v/>
      </c>
      <c r="M2" s="202" t="s">
        <v>173</v>
      </c>
      <c r="N2" s="24"/>
      <c r="O2" s="26" t="s">
        <v>137</v>
      </c>
      <c r="P2" s="26"/>
      <c r="Q2" s="24"/>
      <c r="R2" s="24"/>
      <c r="S2" s="24"/>
      <c r="T2" s="24"/>
      <c r="U2" s="24"/>
      <c r="V2" s="24"/>
      <c r="W2" s="205" t="s">
        <v>179</v>
      </c>
      <c r="X2" s="216">
        <f>'Site Ground Motions'!X2</f>
        <v>45201</v>
      </c>
      <c r="Y2" s="24"/>
      <c r="Z2" s="24"/>
    </row>
    <row r="3" spans="1:26" ht="15" customHeight="1" x14ac:dyDescent="0.2">
      <c r="A3" s="28"/>
      <c r="B3" s="29"/>
      <c r="C3" s="29"/>
      <c r="D3" s="29"/>
      <c r="E3" s="198" t="s">
        <v>138</v>
      </c>
      <c r="F3" s="338" t="str">
        <f>+IF('Site Ground Motions'!E3="","",'Site Ground Motions'!E3)</f>
        <v/>
      </c>
      <c r="G3" s="339"/>
      <c r="H3" s="339"/>
      <c r="I3" s="339"/>
      <c r="J3" s="340"/>
      <c r="K3" s="220" t="s">
        <v>139</v>
      </c>
      <c r="L3" s="207" t="str">
        <f>+IF('Site Ground Motions'!I3="","",'Site Ground Motions'!I3)</f>
        <v/>
      </c>
      <c r="M3" s="199" t="s">
        <v>140</v>
      </c>
      <c r="N3" s="24"/>
      <c r="O3" s="30"/>
      <c r="P3" s="30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" customHeight="1" x14ac:dyDescent="0.2">
      <c r="A4" s="31"/>
      <c r="B4" s="32"/>
      <c r="C4" s="32"/>
      <c r="D4" s="32"/>
      <c r="E4" s="198" t="s">
        <v>141</v>
      </c>
      <c r="F4" s="338" t="s">
        <v>154</v>
      </c>
      <c r="G4" s="339"/>
      <c r="H4" s="339"/>
      <c r="I4" s="339"/>
      <c r="J4" s="340"/>
      <c r="K4" s="220" t="s">
        <v>136</v>
      </c>
      <c r="L4" s="207" t="str">
        <f>+IF('Site Ground Motions'!I4="","",'Site Ground Motions'!I4)</f>
        <v/>
      </c>
      <c r="M4" s="222" t="str">
        <f>+IF('Site Ground Motions'!J4="","",'Site Ground Motions'!J4)</f>
        <v/>
      </c>
      <c r="N4" s="24"/>
      <c r="O4" s="30"/>
      <c r="P4" s="30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" customHeight="1" x14ac:dyDescent="0.2">
      <c r="A5" s="28"/>
      <c r="B5" s="341" t="s">
        <v>152</v>
      </c>
      <c r="C5" s="341"/>
      <c r="D5" s="341"/>
      <c r="E5" s="341"/>
      <c r="F5" s="341"/>
      <c r="G5" s="341"/>
      <c r="H5" s="341"/>
      <c r="I5" s="341"/>
      <c r="J5" s="341"/>
      <c r="K5" s="234"/>
      <c r="L5" s="234"/>
      <c r="M5" s="33"/>
      <c r="N5" s="24"/>
      <c r="O5" s="34"/>
      <c r="P5" s="30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 customHeight="1" thickBot="1" x14ac:dyDescent="0.3">
      <c r="A6" s="35"/>
      <c r="B6" s="342"/>
      <c r="C6" s="342"/>
      <c r="D6" s="342"/>
      <c r="E6" s="342"/>
      <c r="F6" s="342"/>
      <c r="G6" s="342"/>
      <c r="H6" s="342"/>
      <c r="I6" s="342"/>
      <c r="J6" s="342"/>
      <c r="K6" s="234"/>
      <c r="L6" s="234"/>
      <c r="M6" s="33"/>
      <c r="N6" s="24"/>
      <c r="O6" s="350" t="s">
        <v>164</v>
      </c>
      <c r="P6" s="350"/>
      <c r="Q6" s="350"/>
      <c r="R6" s="350"/>
      <c r="S6" s="350"/>
      <c r="T6" s="350"/>
      <c r="U6" s="350"/>
      <c r="V6" s="24"/>
      <c r="W6" s="24"/>
      <c r="X6" s="24"/>
      <c r="Y6" s="24"/>
      <c r="Z6" s="24"/>
    </row>
    <row r="7" spans="1:26" ht="15" customHeight="1" x14ac:dyDescent="0.2">
      <c r="A7" s="35"/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33"/>
      <c r="N7" s="24"/>
      <c r="O7" s="68"/>
      <c r="P7" s="313" t="s">
        <v>165</v>
      </c>
      <c r="Q7" s="314"/>
      <c r="R7" s="314"/>
      <c r="S7" s="314"/>
      <c r="T7" s="314"/>
      <c r="U7" s="314"/>
      <c r="V7" s="24"/>
      <c r="W7" s="24"/>
      <c r="X7" s="24"/>
      <c r="Y7" s="24"/>
      <c r="Z7" s="24"/>
    </row>
    <row r="8" spans="1:26" ht="15" customHeight="1" x14ac:dyDescent="0.25">
      <c r="A8" s="35"/>
      <c r="B8" s="233"/>
      <c r="C8" s="233"/>
      <c r="D8" s="235" t="s">
        <v>29</v>
      </c>
      <c r="E8" s="236">
        <f>+'Site Ground Motions'!C33</f>
        <v>1.1499999999999999</v>
      </c>
      <c r="F8" s="233"/>
      <c r="G8" s="235" t="s">
        <v>30</v>
      </c>
      <c r="H8" s="237">
        <f>IF(E8 &lt; 0.5, 1, IF(E8 &gt; 2.5, 2, 0.5 * E8 + 0.75))</f>
        <v>1.325</v>
      </c>
      <c r="I8" s="233" t="s">
        <v>191</v>
      </c>
      <c r="J8" s="233"/>
      <c r="K8" s="233"/>
      <c r="L8" s="233"/>
      <c r="M8" s="77"/>
      <c r="N8" s="24"/>
      <c r="O8" s="38">
        <v>888</v>
      </c>
      <c r="P8" s="318" t="s">
        <v>166</v>
      </c>
      <c r="Q8" s="319"/>
      <c r="R8" s="319"/>
      <c r="S8" s="319"/>
      <c r="T8" s="319"/>
      <c r="U8" s="319"/>
      <c r="V8" s="24"/>
      <c r="W8" s="24"/>
      <c r="X8" s="24"/>
      <c r="Y8" s="24"/>
      <c r="Z8" s="24"/>
    </row>
    <row r="9" spans="1:26" ht="15" customHeight="1" x14ac:dyDescent="0.25">
      <c r="A9" s="35"/>
      <c r="B9" s="233"/>
      <c r="C9" s="233"/>
      <c r="D9" s="235" t="s">
        <v>35</v>
      </c>
      <c r="E9" s="182">
        <f>F18</f>
        <v>2022</v>
      </c>
      <c r="F9" s="233"/>
      <c r="G9" s="238"/>
      <c r="H9" s="306"/>
      <c r="I9" s="233"/>
      <c r="J9" s="233"/>
      <c r="K9" s="233"/>
      <c r="L9" s="233"/>
      <c r="M9" s="77"/>
      <c r="N9" s="24"/>
      <c r="O9" s="71">
        <v>1.05</v>
      </c>
      <c r="P9" s="319" t="s">
        <v>167</v>
      </c>
      <c r="Q9" s="319"/>
      <c r="R9" s="319"/>
      <c r="S9" s="319"/>
      <c r="T9" s="319"/>
      <c r="U9" s="319"/>
      <c r="V9" s="24"/>
      <c r="W9" s="24"/>
      <c r="X9" s="24"/>
      <c r="Y9" s="24"/>
      <c r="Z9" s="24"/>
    </row>
    <row r="10" spans="1:26" ht="15" customHeight="1" x14ac:dyDescent="0.2">
      <c r="A10" s="35"/>
      <c r="B10" s="233"/>
      <c r="C10" s="233"/>
      <c r="D10" s="239"/>
      <c r="E10" s="239"/>
      <c r="F10" s="233"/>
      <c r="G10" s="233"/>
      <c r="H10" s="239"/>
      <c r="I10" s="72"/>
      <c r="J10" s="78"/>
      <c r="K10" s="233"/>
      <c r="L10" s="233"/>
      <c r="M10" s="77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" customHeight="1" x14ac:dyDescent="0.2">
      <c r="A11" s="35"/>
      <c r="B11" s="233"/>
      <c r="C11" s="233"/>
      <c r="D11" s="235" t="s">
        <v>142</v>
      </c>
      <c r="E11" s="79">
        <v>4</v>
      </c>
      <c r="F11" s="233"/>
      <c r="G11" s="233"/>
      <c r="H11" s="235" t="s">
        <v>143</v>
      </c>
      <c r="I11" s="270">
        <f ca="1">'Equivalent Lateral Forces'!D32</f>
        <v>0.10366555183946491</v>
      </c>
      <c r="J11" s="240"/>
      <c r="K11" s="233"/>
      <c r="L11" s="233"/>
      <c r="M11" s="77"/>
      <c r="N11" s="24"/>
      <c r="O11" s="30" t="s">
        <v>192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" customHeight="1" x14ac:dyDescent="0.2">
      <c r="A12" s="35"/>
      <c r="B12" s="233"/>
      <c r="C12" s="233"/>
      <c r="D12" s="235" t="s">
        <v>144</v>
      </c>
      <c r="E12" s="80">
        <v>0</v>
      </c>
      <c r="F12" s="233"/>
      <c r="G12" s="233"/>
      <c r="H12" s="81" t="s">
        <v>143</v>
      </c>
      <c r="I12" s="179">
        <f ca="1">I11 * E9</f>
        <v>209.61174581939804</v>
      </c>
      <c r="J12" s="241"/>
      <c r="K12" s="233"/>
      <c r="L12" s="233"/>
      <c r="M12" s="77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" customHeight="1" x14ac:dyDescent="0.2">
      <c r="A13" s="35"/>
      <c r="B13" s="233"/>
      <c r="C13" s="233"/>
      <c r="D13" s="235"/>
      <c r="E13" s="85"/>
      <c r="F13" s="233"/>
      <c r="G13" s="233"/>
      <c r="H13" s="81"/>
      <c r="I13" s="179"/>
      <c r="J13" s="241"/>
      <c r="K13" s="233"/>
      <c r="L13" s="233"/>
      <c r="M13" s="77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" customHeight="1" x14ac:dyDescent="0.2">
      <c r="A14" s="35"/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77"/>
      <c r="N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" customHeight="1" x14ac:dyDescent="0.2">
      <c r="A15" s="35"/>
      <c r="B15" s="233"/>
      <c r="C15" s="352" t="s">
        <v>154</v>
      </c>
      <c r="D15" s="352"/>
      <c r="E15" s="352"/>
      <c r="F15" s="352"/>
      <c r="G15" s="352"/>
      <c r="H15" s="352"/>
      <c r="I15" s="352"/>
      <c r="J15" s="352"/>
      <c r="K15" s="352"/>
      <c r="L15" s="352"/>
      <c r="M15" s="77"/>
      <c r="N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" customHeight="1" x14ac:dyDescent="0.2">
      <c r="A16" s="35"/>
      <c r="B16" s="233"/>
      <c r="C16" s="232"/>
      <c r="D16" s="232" t="s">
        <v>145</v>
      </c>
      <c r="E16" s="232"/>
      <c r="F16" s="232" t="s">
        <v>146</v>
      </c>
      <c r="G16" s="232"/>
      <c r="H16" s="232"/>
      <c r="I16" s="233"/>
      <c r="J16" s="233"/>
      <c r="K16" s="233"/>
      <c r="L16" s="233"/>
      <c r="M16" s="77"/>
      <c r="N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" customHeight="1" x14ac:dyDescent="0.25">
      <c r="A17" s="35"/>
      <c r="B17" s="233"/>
      <c r="C17" s="78"/>
      <c r="D17" s="78" t="s">
        <v>24</v>
      </c>
      <c r="E17" s="78"/>
      <c r="F17" s="229" t="s">
        <v>187</v>
      </c>
      <c r="G17" s="229" t="s">
        <v>188</v>
      </c>
      <c r="H17" s="229" t="s">
        <v>189</v>
      </c>
      <c r="I17" s="229" t="s">
        <v>190</v>
      </c>
      <c r="J17" s="78"/>
      <c r="K17" s="353"/>
      <c r="L17" s="353"/>
      <c r="M17" s="77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" customHeight="1" x14ac:dyDescent="0.2">
      <c r="A18" s="35"/>
      <c r="B18" s="233"/>
      <c r="C18" s="233"/>
      <c r="D18" s="230">
        <f>SUM(D25:D36)</f>
        <v>42.5</v>
      </c>
      <c r="E18" s="233"/>
      <c r="F18" s="182">
        <f>SUM(F24:F36)</f>
        <v>2022</v>
      </c>
      <c r="G18" s="258">
        <f>SUM(G24:G36)</f>
        <v>154062.74118178056</v>
      </c>
      <c r="H18" s="259">
        <f>SUM(H24:H36)</f>
        <v>1</v>
      </c>
      <c r="I18" s="179">
        <f ca="1">SUM(I24:I36)</f>
        <v>209.61174581939804</v>
      </c>
      <c r="J18" s="233"/>
      <c r="K18" s="233"/>
      <c r="L18" s="233"/>
      <c r="M18" s="77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" customHeight="1" x14ac:dyDescent="0.2">
      <c r="A19" s="35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77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" customHeight="1" x14ac:dyDescent="0.2">
      <c r="A20" s="35"/>
      <c r="B20" s="233"/>
      <c r="C20" s="233"/>
      <c r="D20" s="233"/>
      <c r="E20" s="235" t="s">
        <v>147</v>
      </c>
      <c r="F20" s="230">
        <f ca="1">MAX(K25:K32) / I12</f>
        <v>31.566399935936474</v>
      </c>
      <c r="G20" s="355" t="s">
        <v>148</v>
      </c>
      <c r="H20" s="355"/>
      <c r="I20" s="260">
        <f ca="1">F20 / D18</f>
        <v>0.74273882202203467</v>
      </c>
      <c r="J20" s="355" t="s">
        <v>149</v>
      </c>
      <c r="K20" s="355"/>
      <c r="L20" s="233"/>
      <c r="M20" s="77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" customHeight="1" x14ac:dyDescent="0.2">
      <c r="A21" s="35"/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77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" customHeight="1" x14ac:dyDescent="0.2">
      <c r="A22" s="35"/>
      <c r="B22" s="233"/>
      <c r="C22" s="232"/>
      <c r="D22" s="232" t="s">
        <v>27</v>
      </c>
      <c r="E22" s="232" t="s">
        <v>25</v>
      </c>
      <c r="F22" s="232" t="s">
        <v>28</v>
      </c>
      <c r="G22" s="232"/>
      <c r="H22" s="232"/>
      <c r="I22" s="233"/>
      <c r="J22" s="233"/>
      <c r="K22" s="233"/>
      <c r="L22" s="233"/>
      <c r="M22" s="77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" customHeight="1" x14ac:dyDescent="0.3">
      <c r="A23" s="35"/>
      <c r="B23" s="233"/>
      <c r="C23" s="78" t="s">
        <v>23</v>
      </c>
      <c r="D23" s="78" t="s">
        <v>24</v>
      </c>
      <c r="E23" s="78" t="s">
        <v>168</v>
      </c>
      <c r="F23" s="78" t="s">
        <v>26</v>
      </c>
      <c r="G23" s="78" t="s">
        <v>169</v>
      </c>
      <c r="H23" s="78" t="s">
        <v>170</v>
      </c>
      <c r="I23" s="82" t="s">
        <v>171</v>
      </c>
      <c r="J23" s="78" t="s">
        <v>172</v>
      </c>
      <c r="K23" s="353" t="s">
        <v>32</v>
      </c>
      <c r="L23" s="353"/>
      <c r="M23" s="77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" customHeight="1" x14ac:dyDescent="0.2">
      <c r="A24" s="35"/>
      <c r="B24" s="233"/>
      <c r="C24" s="232" t="s">
        <v>150</v>
      </c>
      <c r="D24" s="83" t="s">
        <v>151</v>
      </c>
      <c r="E24" s="230">
        <f>SUM(D25:D36)+E12</f>
        <v>42.5</v>
      </c>
      <c r="F24" s="194">
        <v>352</v>
      </c>
      <c r="G24" s="261">
        <f>F24 * (E24-E$12)^$H$8</f>
        <v>50600.871386575287</v>
      </c>
      <c r="H24" s="231">
        <f>G24 / $G$18</f>
        <v>0.32844327576172805</v>
      </c>
      <c r="I24" s="179">
        <f ca="1">H24 * $I$12</f>
        <v>68.8455684350578</v>
      </c>
      <c r="J24" s="83" t="s">
        <v>151</v>
      </c>
      <c r="K24" s="354" t="s">
        <v>151</v>
      </c>
      <c r="L24" s="354"/>
      <c r="M24" s="77"/>
      <c r="N24" s="24"/>
      <c r="O24" s="226"/>
      <c r="P24" s="343" t="s">
        <v>212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" customHeight="1" x14ac:dyDescent="0.2">
      <c r="A25" s="35"/>
      <c r="B25" s="233"/>
      <c r="C25" s="262">
        <f>E11</f>
        <v>4</v>
      </c>
      <c r="D25" s="85">
        <v>10</v>
      </c>
      <c r="E25" s="230">
        <f t="shared" ref="E25:E27" si="0">IF(C25&lt;&gt;"",E24-D25,"")</f>
        <v>32.5</v>
      </c>
      <c r="F25" s="84">
        <v>554</v>
      </c>
      <c r="G25" s="261">
        <f t="shared" ref="G25:G27" si="1">IF(C25="","",IF(C25="Ground","—",F25 * (E25-E$12)^$H$8))</f>
        <v>55815.551213144769</v>
      </c>
      <c r="H25" s="231">
        <f>IF(C25="","",IF(C25="Ground","—",G25 / $G$18))</f>
        <v>0.36229104314902005</v>
      </c>
      <c r="I25" s="179">
        <f ca="1">IF(C25="","",IF(C25="Ground","—",H25 * $I$12))</f>
        <v>75.940458049196963</v>
      </c>
      <c r="J25" s="182">
        <f ca="1">IF(C25="","",IF(C25="Ground","—",I24))</f>
        <v>68.8455684350578</v>
      </c>
      <c r="K25" s="351">
        <f ca="1">IF(C25="","",J25 * D25)</f>
        <v>688.45568435057794</v>
      </c>
      <c r="L25" s="351"/>
      <c r="M25" s="195"/>
      <c r="N25" s="24"/>
      <c r="O25" s="227" t="s">
        <v>186</v>
      </c>
      <c r="P25" s="34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" customHeight="1" x14ac:dyDescent="0.2">
      <c r="A26" s="35"/>
      <c r="B26" s="233"/>
      <c r="C26" s="232">
        <f t="shared" ref="C26:C27" si="2">IF(E$11-O26&gt;1,E$11-O26,IF(E$11-O26=1,"Ground",""))</f>
        <v>3</v>
      </c>
      <c r="D26" s="85">
        <v>10.5</v>
      </c>
      <c r="E26" s="230">
        <f t="shared" si="0"/>
        <v>22</v>
      </c>
      <c r="F26" s="84">
        <v>556</v>
      </c>
      <c r="G26" s="261">
        <f t="shared" si="1"/>
        <v>33402.95155432426</v>
      </c>
      <c r="H26" s="231">
        <f>IF(C26="","",IF(C26="Ground","—",G26 / $G$18))</f>
        <v>0.21681395058985548</v>
      </c>
      <c r="I26" s="179">
        <f t="shared" ref="I26:I27" ca="1" si="3">IF(C26="","",IF(C26="Ground","—",H26 * $I$12))</f>
        <v>45.44675070114031</v>
      </c>
      <c r="J26" s="182">
        <f t="shared" ref="J26:J27" ca="1" si="4">IF(C26="","",I25+J25)</f>
        <v>144.78602648425476</v>
      </c>
      <c r="K26" s="351">
        <f t="shared" ref="K26:K27" ca="1" si="5">IF(C26="","",J26 * D26+K25)</f>
        <v>2208.7089624352529</v>
      </c>
      <c r="L26" s="351"/>
      <c r="M26" s="195"/>
      <c r="N26" s="24"/>
      <c r="O26" s="227">
        <v>1</v>
      </c>
      <c r="P26" s="34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" customHeight="1" x14ac:dyDescent="0.2">
      <c r="A27" s="35"/>
      <c r="B27" s="233"/>
      <c r="C27" s="232">
        <f t="shared" si="2"/>
        <v>2</v>
      </c>
      <c r="D27" s="85">
        <v>10.5</v>
      </c>
      <c r="E27" s="230">
        <f t="shared" si="0"/>
        <v>11.5</v>
      </c>
      <c r="F27" s="84">
        <v>560</v>
      </c>
      <c r="G27" s="261">
        <f t="shared" si="1"/>
        <v>14243.367027736238</v>
      </c>
      <c r="H27" s="231">
        <f>IF(C27="","",IF(C27="Ground","—",G27 / $G$18))</f>
        <v>9.2451730499396423E-2</v>
      </c>
      <c r="I27" s="179">
        <f t="shared" ca="1" si="3"/>
        <v>19.378968634002973</v>
      </c>
      <c r="J27" s="182">
        <f t="shared" ca="1" si="4"/>
        <v>190.23277718539507</v>
      </c>
      <c r="K27" s="351">
        <f t="shared" ca="1" si="5"/>
        <v>4206.1531228819013</v>
      </c>
      <c r="L27" s="351"/>
      <c r="M27" s="77"/>
      <c r="N27" s="24"/>
      <c r="O27" s="227">
        <v>2</v>
      </c>
      <c r="P27" s="34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" customHeight="1" x14ac:dyDescent="0.2">
      <c r="A28" s="35"/>
      <c r="B28" s="233"/>
      <c r="C28" s="232" t="str">
        <f t="shared" ref="C28:C36" si="6">IF(E$11-O28&gt;1,E$11-O28,IF(E$11-O28=1,"Ground",""))</f>
        <v>Ground</v>
      </c>
      <c r="D28" s="85">
        <v>11.5</v>
      </c>
      <c r="E28" s="230">
        <f t="shared" ref="E28:E36" si="7">IF(C28&lt;&gt;"",E27-D28,"")</f>
        <v>0</v>
      </c>
      <c r="F28" s="84"/>
      <c r="G28" s="261" t="str">
        <f t="shared" ref="G28:G36" si="8">IF(C28="","",IF(C28="Ground","—",F28 * (E28-E$12)^$H$8))</f>
        <v>—</v>
      </c>
      <c r="H28" s="231" t="str">
        <f t="shared" ref="H28:H36" si="9">IF(C28="","",IF(C28="Ground","—",G28 / $G$18))</f>
        <v>—</v>
      </c>
      <c r="I28" s="179" t="str">
        <f t="shared" ref="I28:I36" si="10">IF(C28="","",IF(C28="Ground","—",H28 * $I$12))</f>
        <v>—</v>
      </c>
      <c r="J28" s="182">
        <f t="shared" ref="J28:J36" ca="1" si="11">IF(C28="","",I27+J27)</f>
        <v>209.61174581939804</v>
      </c>
      <c r="K28" s="351">
        <f t="shared" ref="K28:K36" ca="1" si="12">IF(C28="","",J28 * D28+K27)</f>
        <v>6616.6881998049785</v>
      </c>
      <c r="L28" s="351"/>
      <c r="M28" s="77"/>
      <c r="N28" s="24"/>
      <c r="O28" s="227">
        <v>3</v>
      </c>
      <c r="P28" s="34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" customHeight="1" x14ac:dyDescent="0.2">
      <c r="A29" s="35"/>
      <c r="B29" s="233"/>
      <c r="C29" s="232" t="str">
        <f t="shared" si="6"/>
        <v/>
      </c>
      <c r="D29" s="85"/>
      <c r="E29" s="230" t="str">
        <f t="shared" si="7"/>
        <v/>
      </c>
      <c r="F29" s="84"/>
      <c r="G29" s="261" t="str">
        <f t="shared" si="8"/>
        <v/>
      </c>
      <c r="H29" s="231" t="str">
        <f t="shared" si="9"/>
        <v/>
      </c>
      <c r="I29" s="179" t="str">
        <f t="shared" si="10"/>
        <v/>
      </c>
      <c r="J29" s="182" t="str">
        <f t="shared" si="11"/>
        <v/>
      </c>
      <c r="K29" s="351" t="str">
        <f t="shared" si="12"/>
        <v/>
      </c>
      <c r="L29" s="351"/>
      <c r="M29" s="77"/>
      <c r="N29" s="24"/>
      <c r="O29" s="227">
        <v>4</v>
      </c>
      <c r="P29" s="34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" customHeight="1" x14ac:dyDescent="0.2">
      <c r="A30" s="35"/>
      <c r="B30" s="233"/>
      <c r="C30" s="232" t="str">
        <f t="shared" si="6"/>
        <v/>
      </c>
      <c r="D30" s="85"/>
      <c r="E30" s="230" t="str">
        <f t="shared" si="7"/>
        <v/>
      </c>
      <c r="F30" s="84"/>
      <c r="G30" s="261" t="str">
        <f t="shared" si="8"/>
        <v/>
      </c>
      <c r="H30" s="231" t="str">
        <f t="shared" si="9"/>
        <v/>
      </c>
      <c r="I30" s="179" t="str">
        <f t="shared" si="10"/>
        <v/>
      </c>
      <c r="J30" s="182" t="str">
        <f t="shared" si="11"/>
        <v/>
      </c>
      <c r="K30" s="351" t="str">
        <f t="shared" si="12"/>
        <v/>
      </c>
      <c r="L30" s="351"/>
      <c r="M30" s="77"/>
      <c r="N30" s="24"/>
      <c r="O30" s="227">
        <v>5</v>
      </c>
      <c r="P30" s="34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" customHeight="1" x14ac:dyDescent="0.2">
      <c r="A31" s="35"/>
      <c r="B31" s="233"/>
      <c r="C31" s="232" t="str">
        <f t="shared" si="6"/>
        <v/>
      </c>
      <c r="D31" s="85"/>
      <c r="E31" s="230" t="str">
        <f t="shared" si="7"/>
        <v/>
      </c>
      <c r="F31" s="86"/>
      <c r="G31" s="261" t="str">
        <f t="shared" si="8"/>
        <v/>
      </c>
      <c r="H31" s="231" t="str">
        <f t="shared" si="9"/>
        <v/>
      </c>
      <c r="I31" s="179" t="str">
        <f t="shared" si="10"/>
        <v/>
      </c>
      <c r="J31" s="182" t="str">
        <f t="shared" si="11"/>
        <v/>
      </c>
      <c r="K31" s="351" t="str">
        <f t="shared" si="12"/>
        <v/>
      </c>
      <c r="L31" s="351"/>
      <c r="M31" s="77"/>
      <c r="N31" s="24"/>
      <c r="O31" s="227">
        <v>6</v>
      </c>
      <c r="P31" s="34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" customHeight="1" x14ac:dyDescent="0.2">
      <c r="A32" s="35"/>
      <c r="B32" s="233"/>
      <c r="C32" s="232" t="str">
        <f t="shared" si="6"/>
        <v/>
      </c>
      <c r="D32" s="263"/>
      <c r="E32" s="230" t="str">
        <f t="shared" si="7"/>
        <v/>
      </c>
      <c r="F32" s="87"/>
      <c r="G32" s="261" t="str">
        <f t="shared" si="8"/>
        <v/>
      </c>
      <c r="H32" s="231" t="str">
        <f t="shared" si="9"/>
        <v/>
      </c>
      <c r="I32" s="179" t="str">
        <f t="shared" si="10"/>
        <v/>
      </c>
      <c r="J32" s="182" t="str">
        <f t="shared" si="11"/>
        <v/>
      </c>
      <c r="K32" s="351" t="str">
        <f t="shared" si="12"/>
        <v/>
      </c>
      <c r="L32" s="351"/>
      <c r="M32" s="77"/>
      <c r="N32" s="24"/>
      <c r="O32" s="227">
        <v>7</v>
      </c>
      <c r="P32" s="34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" customHeight="1" x14ac:dyDescent="0.2">
      <c r="A33" s="35"/>
      <c r="B33" s="233"/>
      <c r="C33" s="232" t="str">
        <f t="shared" si="6"/>
        <v/>
      </c>
      <c r="D33" s="263"/>
      <c r="E33" s="230" t="str">
        <f t="shared" si="7"/>
        <v/>
      </c>
      <c r="F33" s="87"/>
      <c r="G33" s="261" t="str">
        <f t="shared" si="8"/>
        <v/>
      </c>
      <c r="H33" s="231" t="str">
        <f t="shared" si="9"/>
        <v/>
      </c>
      <c r="I33" s="179" t="str">
        <f t="shared" si="10"/>
        <v/>
      </c>
      <c r="J33" s="182" t="str">
        <f t="shared" si="11"/>
        <v/>
      </c>
      <c r="K33" s="351" t="str">
        <f t="shared" si="12"/>
        <v/>
      </c>
      <c r="L33" s="351"/>
      <c r="M33" s="77"/>
      <c r="N33" s="24"/>
      <c r="O33" s="227">
        <v>8</v>
      </c>
      <c r="P33" s="34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" customHeight="1" x14ac:dyDescent="0.2">
      <c r="A34" s="35"/>
      <c r="B34" s="233"/>
      <c r="C34" s="232" t="str">
        <f t="shared" si="6"/>
        <v/>
      </c>
      <c r="D34" s="263"/>
      <c r="E34" s="230" t="str">
        <f t="shared" si="7"/>
        <v/>
      </c>
      <c r="F34" s="87"/>
      <c r="G34" s="261" t="str">
        <f t="shared" si="8"/>
        <v/>
      </c>
      <c r="H34" s="231" t="str">
        <f t="shared" si="9"/>
        <v/>
      </c>
      <c r="I34" s="179" t="str">
        <f t="shared" si="10"/>
        <v/>
      </c>
      <c r="J34" s="182" t="str">
        <f t="shared" si="11"/>
        <v/>
      </c>
      <c r="K34" s="351" t="str">
        <f t="shared" si="12"/>
        <v/>
      </c>
      <c r="L34" s="351"/>
      <c r="M34" s="77"/>
      <c r="N34" s="24"/>
      <c r="O34" s="227">
        <v>9</v>
      </c>
      <c r="P34" s="34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" customHeight="1" x14ac:dyDescent="0.2">
      <c r="A35" s="35"/>
      <c r="B35" s="233"/>
      <c r="C35" s="232" t="str">
        <f t="shared" si="6"/>
        <v/>
      </c>
      <c r="D35" s="263"/>
      <c r="E35" s="230" t="str">
        <f t="shared" si="7"/>
        <v/>
      </c>
      <c r="F35" s="87"/>
      <c r="G35" s="261" t="str">
        <f t="shared" si="8"/>
        <v/>
      </c>
      <c r="H35" s="231" t="str">
        <f t="shared" si="9"/>
        <v/>
      </c>
      <c r="I35" s="179" t="str">
        <f t="shared" si="10"/>
        <v/>
      </c>
      <c r="J35" s="182" t="str">
        <f t="shared" si="11"/>
        <v/>
      </c>
      <c r="K35" s="351" t="str">
        <f t="shared" si="12"/>
        <v/>
      </c>
      <c r="L35" s="351"/>
      <c r="M35" s="77"/>
      <c r="N35" s="24"/>
      <c r="O35" s="227">
        <v>10</v>
      </c>
      <c r="P35" s="34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" customHeight="1" x14ac:dyDescent="0.2">
      <c r="A36" s="35"/>
      <c r="B36" s="233"/>
      <c r="C36" s="78" t="str">
        <f t="shared" si="6"/>
        <v/>
      </c>
      <c r="D36" s="264"/>
      <c r="E36" s="265" t="str">
        <f t="shared" si="7"/>
        <v/>
      </c>
      <c r="F36" s="266"/>
      <c r="G36" s="267" t="str">
        <f t="shared" si="8"/>
        <v/>
      </c>
      <c r="H36" s="268" t="str">
        <f t="shared" si="9"/>
        <v/>
      </c>
      <c r="I36" s="269" t="str">
        <f t="shared" si="10"/>
        <v/>
      </c>
      <c r="J36" s="253" t="str">
        <f t="shared" si="11"/>
        <v/>
      </c>
      <c r="K36" s="358" t="str">
        <f t="shared" si="12"/>
        <v/>
      </c>
      <c r="L36" s="358"/>
      <c r="M36" s="77"/>
      <c r="N36" s="24"/>
      <c r="O36" s="228">
        <v>11</v>
      </c>
      <c r="P36" s="345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" customHeight="1" x14ac:dyDescent="0.2">
      <c r="A37" s="35"/>
      <c r="B37" s="233"/>
      <c r="C37" s="233"/>
      <c r="D37" s="233"/>
      <c r="E37" s="233"/>
      <c r="F37" s="243"/>
      <c r="G37" s="233"/>
      <c r="H37" s="233"/>
      <c r="I37" s="233"/>
      <c r="J37" s="233"/>
      <c r="K37" s="233"/>
      <c r="L37" s="233"/>
      <c r="M37" s="77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" customHeight="1" x14ac:dyDescent="0.2">
      <c r="A38" s="35"/>
      <c r="B38" s="233"/>
      <c r="C38" s="346" t="s">
        <v>195</v>
      </c>
      <c r="D38" s="346"/>
      <c r="E38" s="346"/>
      <c r="F38" s="346"/>
      <c r="G38" s="346"/>
      <c r="H38" s="346"/>
      <c r="I38" s="346"/>
      <c r="J38" s="346"/>
      <c r="K38" s="346"/>
      <c r="L38" s="346"/>
      <c r="M38" s="77"/>
      <c r="N38" s="24"/>
      <c r="O38" s="192" t="s">
        <v>194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" customHeight="1" x14ac:dyDescent="0.2">
      <c r="A39" s="35"/>
      <c r="B39" s="233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77"/>
      <c r="N39" s="24"/>
      <c r="O39" s="30" t="s">
        <v>193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" customHeight="1" x14ac:dyDescent="0.2">
      <c r="A40" s="35"/>
      <c r="B40" s="233"/>
      <c r="C40" s="274"/>
      <c r="D40" s="347" t="s">
        <v>174</v>
      </c>
      <c r="E40" s="348"/>
      <c r="F40" s="274"/>
      <c r="G40" s="274"/>
      <c r="H40" s="274"/>
      <c r="I40" s="347" t="s">
        <v>174</v>
      </c>
      <c r="J40" s="348"/>
      <c r="K40" s="274"/>
      <c r="L40" s="274"/>
      <c r="M40" s="289"/>
      <c r="N40" s="24"/>
      <c r="O40" s="30" t="s">
        <v>197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" customHeight="1" x14ac:dyDescent="0.2">
      <c r="A41" s="35"/>
      <c r="B41" s="233"/>
      <c r="C41" s="275"/>
      <c r="D41" s="349" t="s">
        <v>200</v>
      </c>
      <c r="E41" s="349"/>
      <c r="F41" s="275" t="s">
        <v>196</v>
      </c>
      <c r="G41" s="275"/>
      <c r="H41" s="245"/>
      <c r="I41" s="349" t="s">
        <v>201</v>
      </c>
      <c r="J41" s="349"/>
      <c r="K41" s="245" t="s">
        <v>196</v>
      </c>
      <c r="L41" s="245"/>
      <c r="M41" s="289"/>
      <c r="N41" s="24"/>
      <c r="O41" s="30" t="s">
        <v>198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" customHeight="1" x14ac:dyDescent="0.2">
      <c r="A42" s="35"/>
      <c r="B42" s="233"/>
      <c r="C42" s="271" t="s">
        <v>23</v>
      </c>
      <c r="D42" s="276" t="s">
        <v>162</v>
      </c>
      <c r="E42" s="277" t="s">
        <v>163</v>
      </c>
      <c r="F42" s="271" t="s">
        <v>26</v>
      </c>
      <c r="G42" s="271" t="s">
        <v>199</v>
      </c>
      <c r="H42" s="271"/>
      <c r="I42" s="271" t="s">
        <v>203</v>
      </c>
      <c r="J42" s="271" t="s">
        <v>202</v>
      </c>
      <c r="K42" s="271" t="s">
        <v>31</v>
      </c>
      <c r="L42" s="271" t="s">
        <v>204</v>
      </c>
      <c r="M42" s="272" t="s">
        <v>205</v>
      </c>
      <c r="N42" s="24"/>
      <c r="O42" s="30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" customHeight="1" x14ac:dyDescent="0.2">
      <c r="A43" s="35"/>
      <c r="B43" s="233"/>
      <c r="C43" s="245" t="s">
        <v>150</v>
      </c>
      <c r="D43" s="278"/>
      <c r="E43" s="279" t="str">
        <f>IF(ISNUMBER(D43),D43*32.2/1000,"")</f>
        <v/>
      </c>
      <c r="F43" s="280">
        <f>IF(ISNUMBER(F24),F24,"")</f>
        <v>352</v>
      </c>
      <c r="G43" s="281" t="e">
        <f>IF(ISNUMBER(F43),E43/F43-1,"")</f>
        <v>#VALUE!</v>
      </c>
      <c r="H43" s="282"/>
      <c r="I43" s="278"/>
      <c r="J43" s="278"/>
      <c r="K43" s="280">
        <f ca="1">I24</f>
        <v>68.8455684350578</v>
      </c>
      <c r="L43" s="281">
        <f t="shared" ref="L43" ca="1" si="13">IF(ISNUMBER(K43),I43/K43-1,"")</f>
        <v>-1</v>
      </c>
      <c r="M43" s="290">
        <f ca="1">IF(ISNUMBER(K43),J43/K43-1,"")</f>
        <v>-1</v>
      </c>
      <c r="N43" s="24"/>
      <c r="O43" s="226"/>
      <c r="P43" s="343" t="s">
        <v>213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" customHeight="1" x14ac:dyDescent="0.2">
      <c r="A44" s="35"/>
      <c r="B44" s="233"/>
      <c r="C44" s="279">
        <f>E11</f>
        <v>4</v>
      </c>
      <c r="D44" s="283"/>
      <c r="E44" s="279" t="str">
        <f t="shared" ref="E44:E55" si="14">IF(ISNUMBER(D44),D44*32.2/1000,"")</f>
        <v/>
      </c>
      <c r="F44" s="280">
        <f t="shared" ref="F44:F55" si="15">IF(ISNUMBER(F25),F25,"")</f>
        <v>554</v>
      </c>
      <c r="G44" s="281" t="e">
        <f t="shared" ref="G44:G55" si="16">IF(ISNUMBER(F44),E44/F44-1,"")</f>
        <v>#VALUE!</v>
      </c>
      <c r="H44" s="282"/>
      <c r="I44" s="283"/>
      <c r="J44" s="283"/>
      <c r="K44" s="280">
        <f t="shared" ref="K44:K55" ca="1" si="17">I25</f>
        <v>75.940458049196963</v>
      </c>
      <c r="L44" s="281">
        <f t="shared" ref="L44:L55" ca="1" si="18">IF(ISNUMBER(K44),I44/K44-1,"")</f>
        <v>-1</v>
      </c>
      <c r="M44" s="290">
        <f t="shared" ref="M44:M55" ca="1" si="19">IF(ISNUMBER(K44),J44/K44-1,"")</f>
        <v>-1</v>
      </c>
      <c r="N44" s="24"/>
      <c r="O44" s="227" t="s">
        <v>186</v>
      </c>
      <c r="P44" s="34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" customHeight="1" x14ac:dyDescent="0.2">
      <c r="A45" s="35"/>
      <c r="B45" s="233"/>
      <c r="C45" s="245">
        <f t="shared" ref="C45:C50" si="20">IF(E$11-O45&gt;1,E$11-O45,IF(E$11-O45=1,"Ground",""))</f>
        <v>3</v>
      </c>
      <c r="D45" s="283"/>
      <c r="E45" s="279" t="str">
        <f t="shared" si="14"/>
        <v/>
      </c>
      <c r="F45" s="280">
        <f t="shared" si="15"/>
        <v>556</v>
      </c>
      <c r="G45" s="281" t="e">
        <f t="shared" si="16"/>
        <v>#VALUE!</v>
      </c>
      <c r="H45" s="282"/>
      <c r="I45" s="283"/>
      <c r="J45" s="283"/>
      <c r="K45" s="280">
        <f t="shared" ca="1" si="17"/>
        <v>45.44675070114031</v>
      </c>
      <c r="L45" s="281">
        <f t="shared" ca="1" si="18"/>
        <v>-1</v>
      </c>
      <c r="M45" s="290">
        <f t="shared" ca="1" si="19"/>
        <v>-1</v>
      </c>
      <c r="N45" s="24"/>
      <c r="O45" s="227">
        <v>1</v>
      </c>
      <c r="P45" s="34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" customHeight="1" x14ac:dyDescent="0.2">
      <c r="A46" s="35"/>
      <c r="B46" s="233"/>
      <c r="C46" s="245">
        <f t="shared" si="20"/>
        <v>2</v>
      </c>
      <c r="D46" s="283"/>
      <c r="E46" s="279" t="str">
        <f t="shared" si="14"/>
        <v/>
      </c>
      <c r="F46" s="280">
        <f t="shared" si="15"/>
        <v>560</v>
      </c>
      <c r="G46" s="281" t="e">
        <f t="shared" si="16"/>
        <v>#VALUE!</v>
      </c>
      <c r="H46" s="282"/>
      <c r="I46" s="283"/>
      <c r="J46" s="283"/>
      <c r="K46" s="280">
        <f t="shared" ca="1" si="17"/>
        <v>19.378968634002973</v>
      </c>
      <c r="L46" s="281">
        <f t="shared" ca="1" si="18"/>
        <v>-1</v>
      </c>
      <c r="M46" s="290">
        <f t="shared" ca="1" si="19"/>
        <v>-1</v>
      </c>
      <c r="N46" s="24"/>
      <c r="O46" s="227">
        <v>2</v>
      </c>
      <c r="P46" s="34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" customHeight="1" x14ac:dyDescent="0.2">
      <c r="A47" s="35"/>
      <c r="B47" s="233"/>
      <c r="C47" s="245" t="str">
        <f t="shared" si="20"/>
        <v>Ground</v>
      </c>
      <c r="D47" s="283"/>
      <c r="E47" s="279" t="str">
        <f t="shared" si="14"/>
        <v/>
      </c>
      <c r="F47" s="280" t="str">
        <f t="shared" si="15"/>
        <v/>
      </c>
      <c r="G47" s="281" t="str">
        <f t="shared" si="16"/>
        <v/>
      </c>
      <c r="H47" s="282"/>
      <c r="I47" s="283"/>
      <c r="J47" s="283"/>
      <c r="K47" s="280" t="str">
        <f t="shared" si="17"/>
        <v>—</v>
      </c>
      <c r="L47" s="281" t="str">
        <f t="shared" si="18"/>
        <v/>
      </c>
      <c r="M47" s="290" t="str">
        <f t="shared" si="19"/>
        <v/>
      </c>
      <c r="N47" s="24"/>
      <c r="O47" s="227">
        <v>3</v>
      </c>
      <c r="P47" s="34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" customHeight="1" x14ac:dyDescent="0.2">
      <c r="A48" s="35"/>
      <c r="B48" s="233"/>
      <c r="C48" s="245" t="str">
        <f t="shared" si="20"/>
        <v/>
      </c>
      <c r="D48" s="283"/>
      <c r="E48" s="279" t="str">
        <f t="shared" si="14"/>
        <v/>
      </c>
      <c r="F48" s="280" t="str">
        <f t="shared" si="15"/>
        <v/>
      </c>
      <c r="G48" s="281" t="str">
        <f t="shared" si="16"/>
        <v/>
      </c>
      <c r="H48" s="275"/>
      <c r="I48" s="283"/>
      <c r="J48" s="283"/>
      <c r="K48" s="280" t="str">
        <f t="shared" si="17"/>
        <v/>
      </c>
      <c r="L48" s="281" t="str">
        <f t="shared" si="18"/>
        <v/>
      </c>
      <c r="M48" s="290" t="str">
        <f t="shared" si="19"/>
        <v/>
      </c>
      <c r="N48" s="24"/>
      <c r="O48" s="227">
        <v>4</v>
      </c>
      <c r="P48" s="34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" customHeight="1" x14ac:dyDescent="0.2">
      <c r="A49" s="35"/>
      <c r="B49" s="233"/>
      <c r="C49" s="245" t="str">
        <f t="shared" si="20"/>
        <v/>
      </c>
      <c r="D49" s="283"/>
      <c r="E49" s="279" t="str">
        <f t="shared" si="14"/>
        <v/>
      </c>
      <c r="F49" s="280" t="str">
        <f t="shared" si="15"/>
        <v/>
      </c>
      <c r="G49" s="281" t="str">
        <f t="shared" si="16"/>
        <v/>
      </c>
      <c r="H49" s="275"/>
      <c r="I49" s="283"/>
      <c r="J49" s="283"/>
      <c r="K49" s="280" t="str">
        <f t="shared" si="17"/>
        <v/>
      </c>
      <c r="L49" s="281" t="str">
        <f t="shared" si="18"/>
        <v/>
      </c>
      <c r="M49" s="290" t="str">
        <f t="shared" si="19"/>
        <v/>
      </c>
      <c r="N49" s="24"/>
      <c r="O49" s="227">
        <v>5</v>
      </c>
      <c r="P49" s="34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" customHeight="1" x14ac:dyDescent="0.2">
      <c r="A50" s="35"/>
      <c r="B50" s="233"/>
      <c r="C50" s="245" t="str">
        <f t="shared" si="20"/>
        <v/>
      </c>
      <c r="D50" s="283"/>
      <c r="E50" s="279" t="str">
        <f t="shared" si="14"/>
        <v/>
      </c>
      <c r="F50" s="280" t="str">
        <f t="shared" si="15"/>
        <v/>
      </c>
      <c r="G50" s="281" t="str">
        <f t="shared" si="16"/>
        <v/>
      </c>
      <c r="H50" s="275"/>
      <c r="I50" s="283"/>
      <c r="J50" s="283"/>
      <c r="K50" s="280" t="str">
        <f t="shared" si="17"/>
        <v/>
      </c>
      <c r="L50" s="281" t="str">
        <f t="shared" si="18"/>
        <v/>
      </c>
      <c r="M50" s="290" t="str">
        <f t="shared" si="19"/>
        <v/>
      </c>
      <c r="N50" s="24"/>
      <c r="O50" s="227">
        <v>6</v>
      </c>
      <c r="P50" s="34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" customHeight="1" x14ac:dyDescent="0.2">
      <c r="A51" s="35"/>
      <c r="B51" s="233"/>
      <c r="C51" s="245" t="str">
        <f t="shared" ref="C51:C55" si="21">IF(E$11-O51&gt;1,E$11-O51,IF(E$11-O51=1,"Ground",""))</f>
        <v/>
      </c>
      <c r="D51" s="283"/>
      <c r="E51" s="279" t="str">
        <f t="shared" si="14"/>
        <v/>
      </c>
      <c r="F51" s="280" t="str">
        <f t="shared" si="15"/>
        <v/>
      </c>
      <c r="G51" s="281" t="str">
        <f t="shared" si="16"/>
        <v/>
      </c>
      <c r="H51" s="283"/>
      <c r="I51" s="283"/>
      <c r="J51" s="283"/>
      <c r="K51" s="280" t="str">
        <f t="shared" si="17"/>
        <v/>
      </c>
      <c r="L51" s="281" t="str">
        <f t="shared" si="18"/>
        <v/>
      </c>
      <c r="M51" s="290" t="str">
        <f t="shared" si="19"/>
        <v/>
      </c>
      <c r="N51" s="24"/>
      <c r="O51" s="227">
        <v>7</v>
      </c>
      <c r="P51" s="34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" customHeight="1" x14ac:dyDescent="0.2">
      <c r="A52" s="35"/>
      <c r="B52" s="233"/>
      <c r="C52" s="245" t="str">
        <f t="shared" si="21"/>
        <v/>
      </c>
      <c r="D52" s="283"/>
      <c r="E52" s="279" t="str">
        <f t="shared" si="14"/>
        <v/>
      </c>
      <c r="F52" s="280" t="str">
        <f t="shared" si="15"/>
        <v/>
      </c>
      <c r="G52" s="281" t="str">
        <f t="shared" si="16"/>
        <v/>
      </c>
      <c r="H52" s="283"/>
      <c r="I52" s="283"/>
      <c r="J52" s="283"/>
      <c r="K52" s="280" t="str">
        <f t="shared" si="17"/>
        <v/>
      </c>
      <c r="L52" s="281" t="str">
        <f t="shared" si="18"/>
        <v/>
      </c>
      <c r="M52" s="290" t="str">
        <f t="shared" si="19"/>
        <v/>
      </c>
      <c r="N52" s="24"/>
      <c r="O52" s="227">
        <v>8</v>
      </c>
      <c r="P52" s="34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" customHeight="1" x14ac:dyDescent="0.2">
      <c r="A53" s="35"/>
      <c r="B53" s="233"/>
      <c r="C53" s="245" t="str">
        <f t="shared" si="21"/>
        <v/>
      </c>
      <c r="D53" s="283"/>
      <c r="E53" s="279" t="str">
        <f t="shared" si="14"/>
        <v/>
      </c>
      <c r="F53" s="280" t="str">
        <f t="shared" si="15"/>
        <v/>
      </c>
      <c r="G53" s="281" t="str">
        <f t="shared" si="16"/>
        <v/>
      </c>
      <c r="H53" s="282"/>
      <c r="I53" s="283"/>
      <c r="J53" s="283"/>
      <c r="K53" s="280" t="str">
        <f t="shared" si="17"/>
        <v/>
      </c>
      <c r="L53" s="281" t="str">
        <f t="shared" si="18"/>
        <v/>
      </c>
      <c r="M53" s="290" t="str">
        <f t="shared" si="19"/>
        <v/>
      </c>
      <c r="N53" s="24"/>
      <c r="O53" s="227">
        <v>9</v>
      </c>
      <c r="P53" s="34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" customHeight="1" x14ac:dyDescent="0.2">
      <c r="A54" s="35"/>
      <c r="B54" s="233"/>
      <c r="C54" s="245" t="str">
        <f t="shared" si="21"/>
        <v/>
      </c>
      <c r="D54" s="283"/>
      <c r="E54" s="279" t="str">
        <f t="shared" si="14"/>
        <v/>
      </c>
      <c r="F54" s="280" t="str">
        <f t="shared" si="15"/>
        <v/>
      </c>
      <c r="G54" s="281" t="str">
        <f t="shared" si="16"/>
        <v/>
      </c>
      <c r="H54" s="282"/>
      <c r="I54" s="283"/>
      <c r="J54" s="283"/>
      <c r="K54" s="280" t="str">
        <f t="shared" si="17"/>
        <v/>
      </c>
      <c r="L54" s="281" t="str">
        <f t="shared" si="18"/>
        <v/>
      </c>
      <c r="M54" s="290" t="str">
        <f t="shared" si="19"/>
        <v/>
      </c>
      <c r="N54" s="24"/>
      <c r="O54" s="227">
        <v>10</v>
      </c>
      <c r="P54" s="34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" customHeight="1" x14ac:dyDescent="0.2">
      <c r="A55" s="35"/>
      <c r="B55" s="233"/>
      <c r="C55" s="271" t="str">
        <f t="shared" si="21"/>
        <v/>
      </c>
      <c r="D55" s="284"/>
      <c r="E55" s="285" t="str">
        <f t="shared" si="14"/>
        <v/>
      </c>
      <c r="F55" s="286" t="str">
        <f t="shared" si="15"/>
        <v/>
      </c>
      <c r="G55" s="287" t="str">
        <f t="shared" si="16"/>
        <v/>
      </c>
      <c r="H55" s="288"/>
      <c r="I55" s="284"/>
      <c r="J55" s="284"/>
      <c r="K55" s="286" t="str">
        <f t="shared" si="17"/>
        <v/>
      </c>
      <c r="L55" s="287" t="str">
        <f t="shared" si="18"/>
        <v/>
      </c>
      <c r="M55" s="290" t="str">
        <f t="shared" si="19"/>
        <v/>
      </c>
      <c r="N55" s="24"/>
      <c r="O55" s="228">
        <v>11</v>
      </c>
      <c r="P55" s="345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" customHeight="1" x14ac:dyDescent="0.2">
      <c r="A56" s="254"/>
      <c r="B56" s="233"/>
      <c r="C56" s="232"/>
      <c r="D56" s="85"/>
      <c r="E56" s="230"/>
      <c r="F56" s="182"/>
      <c r="G56" s="232"/>
      <c r="H56" s="231"/>
      <c r="I56" s="179"/>
      <c r="J56" s="182"/>
      <c r="K56" s="247"/>
      <c r="L56" s="242"/>
      <c r="M56" s="246"/>
      <c r="N56" s="24"/>
      <c r="O56" s="248"/>
      <c r="P56" s="249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" customHeight="1" x14ac:dyDescent="0.2">
      <c r="A57" s="254"/>
      <c r="B57" s="233"/>
      <c r="C57" s="355" t="s">
        <v>209</v>
      </c>
      <c r="D57" s="355"/>
      <c r="E57" s="355"/>
      <c r="F57" s="182" t="s">
        <v>207</v>
      </c>
      <c r="G57" s="232" t="s">
        <v>208</v>
      </c>
      <c r="H57" s="356" t="s">
        <v>210</v>
      </c>
      <c r="I57" s="356"/>
      <c r="J57" s="245" t="s">
        <v>204</v>
      </c>
      <c r="K57" s="245" t="s">
        <v>205</v>
      </c>
      <c r="L57" s="242"/>
      <c r="M57" s="246"/>
      <c r="N57" s="24"/>
      <c r="O57" s="250"/>
      <c r="P57" s="249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" customHeight="1" x14ac:dyDescent="0.2">
      <c r="A58" s="254"/>
      <c r="B58" s="233"/>
      <c r="C58" s="233"/>
      <c r="D58" s="233"/>
      <c r="E58" s="233"/>
      <c r="F58" s="256"/>
      <c r="G58" s="257"/>
      <c r="H58" s="357">
        <f ca="1">I12</f>
        <v>209.61174581939804</v>
      </c>
      <c r="I58" s="357"/>
      <c r="J58" s="301">
        <f ca="1">F58/H58-1</f>
        <v>-1</v>
      </c>
      <c r="K58" s="273">
        <f ca="1">G58/H58-1</f>
        <v>-1</v>
      </c>
      <c r="L58" s="233"/>
      <c r="M58" s="77"/>
      <c r="N58" s="24"/>
      <c r="O58" s="250" t="s">
        <v>206</v>
      </c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" customHeight="1" x14ac:dyDescent="0.2">
      <c r="A59" s="255"/>
      <c r="B59" s="251"/>
      <c r="C59" s="251"/>
      <c r="D59" s="251"/>
      <c r="E59" s="251"/>
      <c r="F59" s="253"/>
      <c r="G59" s="251"/>
      <c r="H59" s="251"/>
      <c r="I59" s="251"/>
      <c r="J59" s="251"/>
      <c r="K59" s="251"/>
      <c r="L59" s="251"/>
      <c r="M59" s="252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" customHeight="1" x14ac:dyDescent="0.2">
      <c r="A60" s="24"/>
      <c r="B60" s="30"/>
      <c r="C60" s="30"/>
      <c r="D60" s="30"/>
      <c r="E60" s="30"/>
      <c r="F60" s="191"/>
      <c r="G60" s="30"/>
      <c r="H60" s="30"/>
      <c r="I60" s="30"/>
      <c r="J60" s="30"/>
      <c r="K60" s="30"/>
      <c r="L60" s="30"/>
      <c r="M60" s="30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" customHeight="1" x14ac:dyDescent="0.2">
      <c r="A61" s="24"/>
      <c r="B61" s="30"/>
      <c r="C61" s="30"/>
      <c r="D61" s="30"/>
      <c r="E61" s="30"/>
      <c r="F61" s="191"/>
      <c r="G61" s="30"/>
      <c r="H61" s="30"/>
      <c r="I61" s="30"/>
      <c r="J61" s="30"/>
      <c r="K61" s="30"/>
      <c r="L61" s="30"/>
      <c r="M61" s="30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" customHeight="1" x14ac:dyDescent="0.2">
      <c r="A62" s="24"/>
      <c r="B62" s="30"/>
      <c r="C62" s="30"/>
      <c r="D62" s="30"/>
      <c r="E62" s="30"/>
      <c r="F62" s="191"/>
      <c r="G62" s="30"/>
      <c r="H62" s="30"/>
      <c r="I62" s="30"/>
      <c r="J62" s="30"/>
      <c r="K62" s="30"/>
      <c r="L62" s="30"/>
      <c r="M62" s="30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" customHeight="1" x14ac:dyDescent="0.2">
      <c r="A63" s="24"/>
      <c r="B63" s="30"/>
      <c r="C63" s="30"/>
      <c r="D63" s="30"/>
      <c r="E63" s="30"/>
      <c r="F63" s="191"/>
      <c r="G63" s="30"/>
      <c r="H63" s="30"/>
      <c r="I63" s="30"/>
      <c r="J63" s="30"/>
      <c r="K63" s="30"/>
      <c r="L63" s="30"/>
      <c r="M63" s="30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" customHeight="1" x14ac:dyDescent="0.2">
      <c r="A64" s="24"/>
      <c r="B64" s="30"/>
      <c r="C64" s="30"/>
      <c r="D64" s="30"/>
      <c r="E64" s="30"/>
      <c r="F64" s="191"/>
      <c r="G64" s="30"/>
      <c r="H64" s="30"/>
      <c r="I64" s="30"/>
      <c r="J64" s="30"/>
      <c r="K64" s="30"/>
      <c r="L64" s="30"/>
      <c r="M64" s="30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" customHeight="1" x14ac:dyDescent="0.2">
      <c r="A65" s="27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O65" s="24"/>
      <c r="P65" s="24"/>
      <c r="Q65" s="24"/>
      <c r="R65" s="24"/>
      <c r="S65" s="24"/>
      <c r="T65" s="24"/>
      <c r="U65" s="24"/>
    </row>
    <row r="66" spans="1:26" ht="15" customHeight="1" x14ac:dyDescent="0.2">
      <c r="A66" s="27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O66" s="24"/>
      <c r="P66" s="24"/>
      <c r="Q66" s="24"/>
      <c r="R66" s="24"/>
      <c r="S66" s="24"/>
      <c r="T66" s="24"/>
      <c r="U66" s="24"/>
    </row>
    <row r="67" spans="1:26" ht="15" customHeight="1" x14ac:dyDescent="0.2">
      <c r="A67" s="27"/>
      <c r="B67" s="192"/>
      <c r="C67" s="192"/>
      <c r="D67" s="27"/>
      <c r="E67" s="27"/>
      <c r="F67" s="27"/>
      <c r="G67" s="27"/>
      <c r="H67" s="27"/>
      <c r="I67" s="27"/>
      <c r="J67" s="192"/>
      <c r="K67" s="192"/>
      <c r="L67" s="192"/>
      <c r="M67" s="192"/>
      <c r="O67" s="24"/>
      <c r="P67" s="24"/>
      <c r="Q67" s="24"/>
      <c r="R67" s="24"/>
      <c r="S67" s="24"/>
      <c r="T67" s="24"/>
      <c r="U67" s="24"/>
    </row>
    <row r="68" spans="1:26" ht="15" customHeight="1" x14ac:dyDescent="0.2">
      <c r="A68" s="27"/>
      <c r="B68" s="192"/>
      <c r="C68" s="192"/>
      <c r="D68" s="27"/>
      <c r="E68" s="27"/>
      <c r="F68" s="27"/>
      <c r="G68" s="27"/>
      <c r="H68" s="27"/>
      <c r="I68" s="27"/>
      <c r="J68" s="192"/>
      <c r="K68" s="192"/>
      <c r="L68" s="192"/>
      <c r="M68" s="192"/>
      <c r="O68" s="24"/>
      <c r="P68" s="24"/>
      <c r="Q68" s="24"/>
      <c r="R68" s="24"/>
      <c r="S68" s="24"/>
      <c r="T68" s="24"/>
      <c r="U68" s="24"/>
    </row>
    <row r="69" spans="1:26" ht="15" customHeight="1" x14ac:dyDescent="0.2">
      <c r="A69" s="27"/>
      <c r="B69" s="192"/>
      <c r="C69" s="192"/>
      <c r="D69" s="27"/>
      <c r="E69" s="27"/>
      <c r="F69" s="27"/>
      <c r="G69" s="27"/>
      <c r="H69" s="27"/>
      <c r="I69" s="27"/>
      <c r="J69" s="192"/>
      <c r="K69" s="192"/>
      <c r="L69" s="192"/>
      <c r="M69" s="192"/>
      <c r="O69" s="24"/>
      <c r="P69" s="24"/>
      <c r="Q69" s="24"/>
      <c r="R69" s="24"/>
      <c r="S69" s="24"/>
      <c r="T69" s="24"/>
      <c r="U69" s="24"/>
    </row>
    <row r="70" spans="1:26" ht="15" customHeight="1" x14ac:dyDescent="0.2">
      <c r="A70" s="27"/>
      <c r="B70" s="192"/>
      <c r="C70" s="192"/>
      <c r="D70" s="27"/>
      <c r="E70" s="27"/>
      <c r="F70" s="27"/>
      <c r="G70" s="27"/>
      <c r="H70" s="27"/>
      <c r="I70" s="27"/>
      <c r="J70" s="192"/>
      <c r="K70" s="192"/>
      <c r="L70" s="192"/>
      <c r="M70" s="192"/>
      <c r="O70" s="24"/>
      <c r="P70" s="24"/>
      <c r="Q70" s="24"/>
      <c r="R70" s="24"/>
      <c r="S70" s="24"/>
      <c r="T70" s="24"/>
      <c r="U70" s="24"/>
    </row>
    <row r="71" spans="1:26" ht="15" customHeight="1" x14ac:dyDescent="0.2">
      <c r="A71" s="27"/>
      <c r="B71" s="192"/>
      <c r="C71" s="192"/>
      <c r="D71" s="27"/>
      <c r="E71" s="27"/>
      <c r="F71" s="27"/>
      <c r="G71" s="27"/>
      <c r="H71" s="27"/>
      <c r="I71" s="27"/>
      <c r="J71" s="192"/>
      <c r="K71" s="192"/>
      <c r="L71" s="192"/>
      <c r="M71" s="192"/>
      <c r="O71" s="24"/>
      <c r="P71" s="24"/>
      <c r="Q71" s="24"/>
      <c r="R71" s="24"/>
      <c r="S71" s="24"/>
      <c r="T71" s="24"/>
      <c r="U71" s="24"/>
    </row>
    <row r="72" spans="1:26" ht="15" customHeight="1" x14ac:dyDescent="0.2">
      <c r="A72" s="27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O72" s="24"/>
      <c r="P72" s="24"/>
      <c r="Q72" s="24"/>
      <c r="R72" s="24"/>
      <c r="S72" s="24"/>
      <c r="T72" s="24"/>
      <c r="U72" s="24"/>
    </row>
    <row r="73" spans="1:26" ht="15" customHeight="1" x14ac:dyDescent="0.2">
      <c r="A73" s="27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O73" s="24"/>
      <c r="P73" s="24"/>
      <c r="Q73" s="24"/>
      <c r="R73" s="24"/>
      <c r="S73" s="24"/>
      <c r="T73" s="24"/>
      <c r="U73" s="24"/>
    </row>
    <row r="74" spans="1:26" ht="15" customHeight="1" x14ac:dyDescent="0.2">
      <c r="A74" s="27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O74" s="24"/>
      <c r="P74" s="24"/>
      <c r="Q74" s="24"/>
      <c r="R74" s="24"/>
      <c r="S74" s="24"/>
      <c r="T74" s="24"/>
      <c r="U74" s="24"/>
    </row>
    <row r="75" spans="1:26" ht="15" customHeight="1" x14ac:dyDescent="0.2">
      <c r="A75" s="27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O75" s="24"/>
      <c r="P75" s="24"/>
      <c r="Q75" s="24"/>
      <c r="R75" s="24"/>
      <c r="S75" s="24"/>
      <c r="T75" s="24"/>
      <c r="U75" s="24"/>
    </row>
    <row r="76" spans="1:26" ht="15" customHeight="1" x14ac:dyDescent="0.15">
      <c r="A76" s="27"/>
      <c r="B76" s="27"/>
      <c r="C76" s="27"/>
      <c r="D76" s="27"/>
      <c r="E76" s="27"/>
      <c r="F76" s="27"/>
      <c r="G76" s="27"/>
      <c r="H76" s="27"/>
      <c r="I76" s="193"/>
      <c r="J76" s="27"/>
      <c r="K76" s="27"/>
      <c r="L76" s="27"/>
      <c r="M76" s="27"/>
      <c r="O76" s="24"/>
      <c r="P76" s="24"/>
      <c r="Q76" s="24"/>
      <c r="R76" s="24"/>
      <c r="S76" s="24"/>
      <c r="T76" s="24"/>
      <c r="U76" s="24"/>
    </row>
    <row r="77" spans="1:26" ht="15" customHeight="1" x14ac:dyDescent="0.1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O77" s="24"/>
      <c r="P77" s="24"/>
      <c r="Q77" s="24"/>
      <c r="R77" s="24"/>
      <c r="S77" s="24"/>
      <c r="T77" s="24"/>
      <c r="U77" s="24"/>
    </row>
    <row r="78" spans="1:26" ht="15" customHeight="1" x14ac:dyDescent="0.1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O78" s="24"/>
      <c r="P78" s="24"/>
      <c r="Q78" s="24"/>
      <c r="R78" s="24"/>
      <c r="S78" s="24"/>
      <c r="T78" s="24"/>
      <c r="U78" s="24"/>
    </row>
    <row r="79" spans="1:26" ht="15" customHeight="1" x14ac:dyDescent="0.1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O79" s="24"/>
      <c r="P79" s="24"/>
      <c r="Q79" s="24"/>
      <c r="R79" s="24"/>
      <c r="S79" s="24"/>
      <c r="T79" s="24"/>
      <c r="U79" s="24"/>
    </row>
    <row r="80" spans="1:26" s="36" customFormat="1" ht="15" customHeight="1" x14ac:dyDescent="0.1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4"/>
      <c r="P80" s="24"/>
      <c r="Q80" s="24"/>
      <c r="R80" s="24"/>
      <c r="S80" s="24"/>
      <c r="T80" s="24"/>
      <c r="U80" s="24"/>
      <c r="V80" s="27"/>
      <c r="W80" s="27"/>
      <c r="X80" s="27"/>
      <c r="Y80" s="27"/>
      <c r="Z80" s="27"/>
    </row>
    <row r="81" spans="1:26" s="36" customFormat="1" ht="15" customHeight="1" x14ac:dyDescent="0.1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4"/>
      <c r="P81" s="24"/>
      <c r="Q81" s="24"/>
      <c r="R81" s="24"/>
      <c r="S81" s="24"/>
      <c r="T81" s="24"/>
      <c r="U81" s="24"/>
      <c r="V81" s="27"/>
      <c r="W81" s="27"/>
      <c r="X81" s="27"/>
      <c r="Y81" s="27"/>
      <c r="Z81" s="27"/>
    </row>
    <row r="82" spans="1:26" s="36" customFormat="1" ht="15" customHeight="1" x14ac:dyDescent="0.1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4"/>
      <c r="P82" s="24"/>
      <c r="Q82" s="24"/>
      <c r="R82" s="24"/>
      <c r="S82" s="24"/>
      <c r="T82" s="24"/>
      <c r="U82" s="24"/>
      <c r="V82" s="27"/>
      <c r="W82" s="27"/>
      <c r="X82" s="27"/>
      <c r="Y82" s="27"/>
      <c r="Z82" s="27"/>
    </row>
    <row r="83" spans="1:26" s="36" customFormat="1" ht="15" customHeight="1" x14ac:dyDescent="0.1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4"/>
      <c r="P83" s="24"/>
      <c r="Q83" s="24"/>
      <c r="R83" s="24"/>
      <c r="S83" s="24"/>
      <c r="T83" s="24"/>
      <c r="U83" s="24"/>
      <c r="V83" s="27"/>
      <c r="W83" s="27"/>
      <c r="X83" s="27"/>
      <c r="Y83" s="27"/>
      <c r="Z83" s="27"/>
    </row>
    <row r="84" spans="1:26" s="36" customFormat="1" ht="15" customHeight="1" x14ac:dyDescent="0.1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4"/>
      <c r="P84" s="24"/>
      <c r="Q84" s="24"/>
      <c r="R84" s="24"/>
      <c r="S84" s="24"/>
      <c r="T84" s="24"/>
      <c r="U84" s="24"/>
      <c r="V84" s="27"/>
      <c r="W84" s="27"/>
      <c r="X84" s="27"/>
      <c r="Y84" s="27"/>
      <c r="Z84" s="27"/>
    </row>
    <row r="85" spans="1:26" s="36" customFormat="1" ht="15" customHeight="1" x14ac:dyDescent="0.1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4"/>
      <c r="P85" s="24"/>
      <c r="Q85" s="24"/>
      <c r="R85" s="24"/>
      <c r="S85" s="24"/>
      <c r="T85" s="24"/>
      <c r="U85" s="24"/>
      <c r="V85" s="27"/>
      <c r="W85" s="27"/>
      <c r="X85" s="27"/>
      <c r="Y85" s="27"/>
      <c r="Z85" s="27"/>
    </row>
    <row r="86" spans="1:26" s="36" customFormat="1" ht="15" customHeight="1" x14ac:dyDescent="0.1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4"/>
      <c r="P86" s="24"/>
      <c r="Q86" s="24"/>
      <c r="R86" s="24"/>
      <c r="S86" s="24"/>
      <c r="T86" s="24"/>
      <c r="U86" s="24"/>
      <c r="V86" s="27"/>
      <c r="W86" s="27"/>
      <c r="X86" s="27"/>
      <c r="Y86" s="27"/>
      <c r="Z86" s="27"/>
    </row>
    <row r="87" spans="1:26" ht="15" customHeight="1" x14ac:dyDescent="0.1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O87" s="24"/>
      <c r="P87" s="24"/>
      <c r="Q87" s="24"/>
      <c r="R87" s="24"/>
      <c r="S87" s="24"/>
      <c r="T87" s="24"/>
      <c r="U87" s="24"/>
    </row>
    <row r="88" spans="1:26" ht="15" customHeight="1" x14ac:dyDescent="0.1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O88" s="24"/>
      <c r="P88" s="24"/>
      <c r="Q88" s="24"/>
      <c r="R88" s="24"/>
      <c r="S88" s="24"/>
      <c r="T88" s="24"/>
      <c r="U88" s="24"/>
    </row>
    <row r="89" spans="1:26" ht="15" customHeight="1" x14ac:dyDescent="0.1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O89" s="24"/>
      <c r="P89" s="24"/>
      <c r="Q89" s="24"/>
      <c r="R89" s="24"/>
      <c r="S89" s="24"/>
      <c r="T89" s="24"/>
      <c r="U89" s="24"/>
    </row>
    <row r="90" spans="1:26" ht="15" customHeight="1" x14ac:dyDescent="0.1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O90" s="24"/>
      <c r="P90" s="24"/>
      <c r="Q90" s="24"/>
      <c r="R90" s="24"/>
      <c r="S90" s="24"/>
      <c r="T90" s="24"/>
      <c r="U90" s="24"/>
    </row>
    <row r="91" spans="1:26" ht="15" customHeight="1" x14ac:dyDescent="0.1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O91" s="24"/>
      <c r="P91" s="24"/>
      <c r="Q91" s="24"/>
      <c r="R91" s="24"/>
      <c r="S91" s="24"/>
      <c r="T91" s="24"/>
      <c r="U91" s="24"/>
    </row>
    <row r="92" spans="1:26" ht="15" customHeight="1" x14ac:dyDescent="0.1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O92" s="24"/>
      <c r="P92" s="24"/>
      <c r="Q92" s="24"/>
      <c r="R92" s="24"/>
      <c r="S92" s="24"/>
      <c r="T92" s="24"/>
      <c r="U92" s="24"/>
    </row>
    <row r="93" spans="1:26" ht="15" customHeight="1" x14ac:dyDescent="0.1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O93" s="24"/>
      <c r="P93" s="24"/>
      <c r="Q93" s="24"/>
      <c r="R93" s="24"/>
      <c r="S93" s="24"/>
      <c r="T93" s="24"/>
      <c r="U93" s="24"/>
    </row>
    <row r="94" spans="1:26" ht="15" customHeight="1" x14ac:dyDescent="0.1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O94" s="24"/>
      <c r="P94" s="24"/>
      <c r="Q94" s="24"/>
      <c r="R94" s="24"/>
      <c r="S94" s="24"/>
      <c r="T94" s="24"/>
      <c r="U94" s="24"/>
    </row>
    <row r="95" spans="1:26" ht="15" customHeight="1" x14ac:dyDescent="0.1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O95" s="24"/>
      <c r="P95" s="24"/>
      <c r="Q95" s="24"/>
      <c r="R95" s="24"/>
      <c r="S95" s="24"/>
      <c r="T95" s="24"/>
      <c r="U95" s="24"/>
    </row>
    <row r="96" spans="1:26" x14ac:dyDescent="0.1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="27" customFormat="1" x14ac:dyDescent="0.15"/>
    <row r="98" s="27" customFormat="1" x14ac:dyDescent="0.15"/>
    <row r="99" s="27" customFormat="1" x14ac:dyDescent="0.15"/>
    <row r="100" s="27" customFormat="1" x14ac:dyDescent="0.15"/>
    <row r="101" s="27" customFormat="1" x14ac:dyDescent="0.15"/>
    <row r="102" s="27" customFormat="1" x14ac:dyDescent="0.15"/>
    <row r="103" s="27" customFormat="1" x14ac:dyDescent="0.15"/>
    <row r="104" s="27" customFormat="1" x14ac:dyDescent="0.15"/>
    <row r="105" s="27" customFormat="1" x14ac:dyDescent="0.15"/>
    <row r="106" s="27" customFormat="1" x14ac:dyDescent="0.15"/>
    <row r="107" s="27" customFormat="1" x14ac:dyDescent="0.15"/>
    <row r="108" s="27" customFormat="1" x14ac:dyDescent="0.15"/>
    <row r="109" s="27" customFormat="1" x14ac:dyDescent="0.15"/>
    <row r="110" s="27" customFormat="1" x14ac:dyDescent="0.15"/>
    <row r="111" s="27" customFormat="1" x14ac:dyDescent="0.15"/>
    <row r="112" s="27" customFormat="1" x14ac:dyDescent="0.15"/>
    <row r="113" s="27" customFormat="1" x14ac:dyDescent="0.15"/>
    <row r="114" s="27" customFormat="1" x14ac:dyDescent="0.15"/>
    <row r="115" s="27" customFormat="1" x14ac:dyDescent="0.15"/>
    <row r="116" s="27" customFormat="1" x14ac:dyDescent="0.15"/>
    <row r="117" s="27" customFormat="1" x14ac:dyDescent="0.15"/>
    <row r="118" s="27" customFormat="1" x14ac:dyDescent="0.15"/>
    <row r="119" s="27" customFormat="1" x14ac:dyDescent="0.15"/>
    <row r="120" s="27" customFormat="1" x14ac:dyDescent="0.15"/>
    <row r="121" s="27" customFormat="1" x14ac:dyDescent="0.15"/>
    <row r="122" s="27" customFormat="1" x14ac:dyDescent="0.15"/>
    <row r="123" s="27" customFormat="1" x14ac:dyDescent="0.15"/>
    <row r="124" s="27" customFormat="1" x14ac:dyDescent="0.15"/>
    <row r="125" s="27" customFormat="1" x14ac:dyDescent="0.15"/>
    <row r="126" s="27" customFormat="1" x14ac:dyDescent="0.15"/>
    <row r="127" s="27" customFormat="1" x14ac:dyDescent="0.15"/>
    <row r="128" s="27" customFormat="1" x14ac:dyDescent="0.15"/>
    <row r="129" s="27" customFormat="1" x14ac:dyDescent="0.15"/>
    <row r="130" s="27" customFormat="1" x14ac:dyDescent="0.15"/>
    <row r="131" s="27" customFormat="1" x14ac:dyDescent="0.15"/>
    <row r="132" s="27" customFormat="1" x14ac:dyDescent="0.15"/>
    <row r="133" s="27" customFormat="1" x14ac:dyDescent="0.15"/>
    <row r="134" s="27" customFormat="1" x14ac:dyDescent="0.15"/>
    <row r="135" s="27" customFormat="1" x14ac:dyDescent="0.15"/>
    <row r="136" s="27" customFormat="1" x14ac:dyDescent="0.15"/>
    <row r="137" s="27" customFormat="1" x14ac:dyDescent="0.15"/>
    <row r="138" s="27" customFormat="1" x14ac:dyDescent="0.15"/>
    <row r="139" s="27" customFormat="1" x14ac:dyDescent="0.15"/>
    <row r="140" s="27" customFormat="1" x14ac:dyDescent="0.15"/>
    <row r="141" s="27" customFormat="1" x14ac:dyDescent="0.15"/>
    <row r="142" s="27" customFormat="1" x14ac:dyDescent="0.15"/>
    <row r="143" s="27" customFormat="1" x14ac:dyDescent="0.15"/>
    <row r="144" s="27" customFormat="1" x14ac:dyDescent="0.15"/>
    <row r="145" s="27" customFormat="1" x14ac:dyDescent="0.15"/>
    <row r="146" s="27" customFormat="1" x14ac:dyDescent="0.15"/>
    <row r="147" s="27" customFormat="1" x14ac:dyDescent="0.15"/>
    <row r="148" s="27" customFormat="1" x14ac:dyDescent="0.15"/>
    <row r="149" s="27" customFormat="1" x14ac:dyDescent="0.15"/>
    <row r="150" s="27" customFormat="1" x14ac:dyDescent="0.15"/>
    <row r="151" s="27" customFormat="1" x14ac:dyDescent="0.15"/>
    <row r="152" s="27" customFormat="1" x14ac:dyDescent="0.15"/>
    <row r="153" s="27" customFormat="1" x14ac:dyDescent="0.15"/>
    <row r="154" s="27" customFormat="1" x14ac:dyDescent="0.15"/>
    <row r="155" s="27" customFormat="1" x14ac:dyDescent="0.15"/>
    <row r="156" s="27" customFormat="1" x14ac:dyDescent="0.15"/>
    <row r="157" s="27" customFormat="1" x14ac:dyDescent="0.15"/>
    <row r="158" s="27" customFormat="1" x14ac:dyDescent="0.15"/>
    <row r="159" s="27" customFormat="1" x14ac:dyDescent="0.15"/>
    <row r="160" s="27" customFormat="1" x14ac:dyDescent="0.15"/>
    <row r="161" s="27" customFormat="1" x14ac:dyDescent="0.15"/>
    <row r="162" s="27" customFormat="1" x14ac:dyDescent="0.15"/>
    <row r="163" s="27" customFormat="1" x14ac:dyDescent="0.15"/>
    <row r="164" s="27" customFormat="1" x14ac:dyDescent="0.15"/>
    <row r="165" s="27" customFormat="1" x14ac:dyDescent="0.15"/>
    <row r="166" s="27" customFormat="1" x14ac:dyDescent="0.15"/>
    <row r="167" s="27" customFormat="1" x14ac:dyDescent="0.15"/>
    <row r="168" s="27" customFormat="1" x14ac:dyDescent="0.15"/>
    <row r="169" s="27" customFormat="1" x14ac:dyDescent="0.15"/>
    <row r="170" s="27" customFormat="1" x14ac:dyDescent="0.15"/>
    <row r="171" s="27" customFormat="1" x14ac:dyDescent="0.15"/>
    <row r="172" s="27" customFormat="1" x14ac:dyDescent="0.15"/>
    <row r="173" s="27" customFormat="1" x14ac:dyDescent="0.15"/>
    <row r="174" s="27" customFormat="1" x14ac:dyDescent="0.15"/>
    <row r="175" s="27" customFormat="1" x14ac:dyDescent="0.15"/>
    <row r="176" s="27" customFormat="1" x14ac:dyDescent="0.15"/>
    <row r="177" s="27" customFormat="1" x14ac:dyDescent="0.15"/>
    <row r="178" s="27" customFormat="1" x14ac:dyDescent="0.15"/>
    <row r="179" s="27" customFormat="1" x14ac:dyDescent="0.15"/>
    <row r="180" s="27" customFormat="1" x14ac:dyDescent="0.15"/>
    <row r="181" s="27" customFormat="1" x14ac:dyDescent="0.15"/>
    <row r="182" s="27" customFormat="1" x14ac:dyDescent="0.15"/>
    <row r="183" s="27" customFormat="1" x14ac:dyDescent="0.15"/>
    <row r="184" s="27" customFormat="1" x14ac:dyDescent="0.15"/>
    <row r="185" s="27" customFormat="1" x14ac:dyDescent="0.15"/>
    <row r="186" s="27" customFormat="1" x14ac:dyDescent="0.15"/>
    <row r="187" s="27" customFormat="1" x14ac:dyDescent="0.15"/>
    <row r="188" s="27" customFormat="1" x14ac:dyDescent="0.15"/>
    <row r="189" s="27" customFormat="1" x14ac:dyDescent="0.15"/>
    <row r="190" s="27" customFormat="1" x14ac:dyDescent="0.15"/>
    <row r="191" s="27" customFormat="1" x14ac:dyDescent="0.15"/>
    <row r="192" s="27" customFormat="1" x14ac:dyDescent="0.15"/>
    <row r="193" s="27" customFormat="1" x14ac:dyDescent="0.15"/>
    <row r="194" s="27" customFormat="1" x14ac:dyDescent="0.15"/>
    <row r="195" s="27" customFormat="1" x14ac:dyDescent="0.15"/>
    <row r="196" s="27" customFormat="1" x14ac:dyDescent="0.15"/>
    <row r="197" s="27" customFormat="1" x14ac:dyDescent="0.15"/>
    <row r="198" s="27" customFormat="1" x14ac:dyDescent="0.15"/>
    <row r="199" s="27" customFormat="1" x14ac:dyDescent="0.15"/>
    <row r="200" s="27" customFormat="1" x14ac:dyDescent="0.15"/>
    <row r="201" s="27" customFormat="1" x14ac:dyDescent="0.15"/>
    <row r="202" s="27" customFormat="1" x14ac:dyDescent="0.15"/>
    <row r="203" s="27" customFormat="1" x14ac:dyDescent="0.15"/>
    <row r="204" s="27" customFormat="1" x14ac:dyDescent="0.15"/>
    <row r="205" s="27" customFormat="1" x14ac:dyDescent="0.15"/>
    <row r="206" s="27" customFormat="1" x14ac:dyDescent="0.15"/>
    <row r="207" s="27" customFormat="1" x14ac:dyDescent="0.15"/>
    <row r="208" s="27" customFormat="1" x14ac:dyDescent="0.15"/>
    <row r="209" s="27" customFormat="1" x14ac:dyDescent="0.15"/>
    <row r="210" s="27" customFormat="1" x14ac:dyDescent="0.15"/>
    <row r="211" s="27" customFormat="1" x14ac:dyDescent="0.15"/>
    <row r="212" s="27" customFormat="1" x14ac:dyDescent="0.15"/>
    <row r="213" s="27" customFormat="1" x14ac:dyDescent="0.15"/>
    <row r="214" s="27" customFormat="1" x14ac:dyDescent="0.15"/>
    <row r="215" s="27" customFormat="1" x14ac:dyDescent="0.15"/>
    <row r="216" s="27" customFormat="1" x14ac:dyDescent="0.15"/>
    <row r="217" s="27" customFormat="1" x14ac:dyDescent="0.15"/>
    <row r="218" s="27" customFormat="1" x14ac:dyDescent="0.15"/>
    <row r="219" s="27" customFormat="1" x14ac:dyDescent="0.15"/>
    <row r="220" s="27" customFormat="1" x14ac:dyDescent="0.15"/>
    <row r="221" s="27" customFormat="1" x14ac:dyDescent="0.15"/>
    <row r="222" s="27" customFormat="1" x14ac:dyDescent="0.15"/>
    <row r="223" s="27" customFormat="1" x14ac:dyDescent="0.15"/>
    <row r="224" s="27" customFormat="1" x14ac:dyDescent="0.15"/>
    <row r="225" s="27" customFormat="1" x14ac:dyDescent="0.15"/>
    <row r="226" s="27" customFormat="1" x14ac:dyDescent="0.15"/>
    <row r="227" s="27" customFormat="1" x14ac:dyDescent="0.15"/>
    <row r="228" s="27" customFormat="1" x14ac:dyDescent="0.15"/>
    <row r="229" s="27" customFormat="1" x14ac:dyDescent="0.15"/>
    <row r="230" s="27" customFormat="1" x14ac:dyDescent="0.15"/>
    <row r="231" s="27" customFormat="1" x14ac:dyDescent="0.15"/>
    <row r="232" s="27" customFormat="1" x14ac:dyDescent="0.15"/>
    <row r="233" s="27" customFormat="1" x14ac:dyDescent="0.15"/>
    <row r="234" s="27" customFormat="1" x14ac:dyDescent="0.15"/>
    <row r="235" s="27" customFormat="1" x14ac:dyDescent="0.15"/>
    <row r="236" s="27" customFormat="1" x14ac:dyDescent="0.15"/>
    <row r="237" s="27" customFormat="1" x14ac:dyDescent="0.15"/>
    <row r="238" s="27" customFormat="1" x14ac:dyDescent="0.15"/>
    <row r="239" s="27" customFormat="1" x14ac:dyDescent="0.15"/>
    <row r="240" s="27" customFormat="1" x14ac:dyDescent="0.15"/>
    <row r="241" s="27" customFormat="1" x14ac:dyDescent="0.15"/>
    <row r="242" s="27" customFormat="1" x14ac:dyDescent="0.15"/>
    <row r="243" s="27" customFormat="1" x14ac:dyDescent="0.15"/>
    <row r="244" s="27" customFormat="1" x14ac:dyDescent="0.15"/>
    <row r="245" s="27" customFormat="1" x14ac:dyDescent="0.15"/>
    <row r="246" s="27" customFormat="1" x14ac:dyDescent="0.15"/>
    <row r="247" s="27" customFormat="1" x14ac:dyDescent="0.15"/>
    <row r="248" s="27" customFormat="1" x14ac:dyDescent="0.15"/>
    <row r="249" s="27" customFormat="1" x14ac:dyDescent="0.15"/>
    <row r="250" s="27" customFormat="1" x14ac:dyDescent="0.15"/>
    <row r="251" s="27" customFormat="1" x14ac:dyDescent="0.15"/>
    <row r="252" s="27" customFormat="1" x14ac:dyDescent="0.15"/>
    <row r="253" s="27" customFormat="1" x14ac:dyDescent="0.15"/>
    <row r="254" s="27" customFormat="1" x14ac:dyDescent="0.15"/>
    <row r="255" s="27" customFormat="1" x14ac:dyDescent="0.15"/>
    <row r="256" s="27" customFormat="1" x14ac:dyDescent="0.15"/>
    <row r="257" s="27" customFormat="1" x14ac:dyDescent="0.15"/>
    <row r="258" s="27" customFormat="1" x14ac:dyDescent="0.15"/>
    <row r="259" s="27" customFormat="1" x14ac:dyDescent="0.15"/>
    <row r="260" s="27" customFormat="1" x14ac:dyDescent="0.15"/>
    <row r="261" s="27" customFormat="1" x14ac:dyDescent="0.15"/>
    <row r="262" s="27" customFormat="1" x14ac:dyDescent="0.15"/>
    <row r="263" s="27" customFormat="1" x14ac:dyDescent="0.15"/>
    <row r="264" s="27" customFormat="1" x14ac:dyDescent="0.15"/>
    <row r="265" s="27" customFormat="1" x14ac:dyDescent="0.15"/>
    <row r="266" s="27" customFormat="1" x14ac:dyDescent="0.15"/>
    <row r="267" s="27" customFormat="1" x14ac:dyDescent="0.15"/>
    <row r="268" s="27" customFormat="1" x14ac:dyDescent="0.15"/>
    <row r="269" s="27" customFormat="1" x14ac:dyDescent="0.15"/>
    <row r="270" s="27" customFormat="1" x14ac:dyDescent="0.15"/>
    <row r="271" s="27" customFormat="1" x14ac:dyDescent="0.15"/>
    <row r="272" s="27" customFormat="1" x14ac:dyDescent="0.15"/>
    <row r="273" s="27" customFormat="1" x14ac:dyDescent="0.15"/>
    <row r="274" s="27" customFormat="1" x14ac:dyDescent="0.15"/>
    <row r="275" s="27" customFormat="1" x14ac:dyDescent="0.15"/>
    <row r="276" s="27" customFormat="1" x14ac:dyDescent="0.15"/>
    <row r="277" s="27" customFormat="1" x14ac:dyDescent="0.15"/>
    <row r="278" s="27" customFormat="1" x14ac:dyDescent="0.15"/>
    <row r="279" s="27" customFormat="1" x14ac:dyDescent="0.15"/>
    <row r="280" s="27" customFormat="1" x14ac:dyDescent="0.15"/>
    <row r="281" s="27" customFormat="1" x14ac:dyDescent="0.15"/>
    <row r="282" s="27" customFormat="1" x14ac:dyDescent="0.15"/>
    <row r="283" s="27" customFormat="1" x14ac:dyDescent="0.15"/>
    <row r="284" s="27" customFormat="1" x14ac:dyDescent="0.15"/>
    <row r="285" s="27" customFormat="1" x14ac:dyDescent="0.15"/>
    <row r="286" s="27" customFormat="1" x14ac:dyDescent="0.15"/>
    <row r="287" s="27" customFormat="1" x14ac:dyDescent="0.15"/>
    <row r="288" s="27" customFormat="1" x14ac:dyDescent="0.15"/>
    <row r="289" s="27" customFormat="1" x14ac:dyDescent="0.15"/>
    <row r="290" s="27" customFormat="1" x14ac:dyDescent="0.15"/>
    <row r="291" s="27" customFormat="1" x14ac:dyDescent="0.15"/>
    <row r="292" s="27" customFormat="1" x14ac:dyDescent="0.15"/>
    <row r="293" s="27" customFormat="1" x14ac:dyDescent="0.15"/>
    <row r="294" s="27" customFormat="1" x14ac:dyDescent="0.15"/>
    <row r="295" s="27" customFormat="1" x14ac:dyDescent="0.15"/>
    <row r="296" s="27" customFormat="1" x14ac:dyDescent="0.15"/>
    <row r="297" s="27" customFormat="1" x14ac:dyDescent="0.15"/>
    <row r="298" s="27" customFormat="1" x14ac:dyDescent="0.15"/>
    <row r="299" s="27" customFormat="1" x14ac:dyDescent="0.15"/>
    <row r="300" s="27" customFormat="1" x14ac:dyDescent="0.15"/>
    <row r="301" s="27" customFormat="1" x14ac:dyDescent="0.15"/>
    <row r="302" s="27" customFormat="1" x14ac:dyDescent="0.15"/>
    <row r="303" s="27" customFormat="1" x14ac:dyDescent="0.15"/>
    <row r="304" s="27" customFormat="1" x14ac:dyDescent="0.15"/>
    <row r="305" s="27" customFormat="1" x14ac:dyDescent="0.15"/>
    <row r="306" s="27" customFormat="1" x14ac:dyDescent="0.15"/>
    <row r="307" s="27" customFormat="1" x14ac:dyDescent="0.15"/>
    <row r="308" s="27" customFormat="1" x14ac:dyDescent="0.15"/>
    <row r="309" s="27" customFormat="1" x14ac:dyDescent="0.15"/>
    <row r="310" s="27" customFormat="1" x14ac:dyDescent="0.15"/>
    <row r="311" s="27" customFormat="1" x14ac:dyDescent="0.15"/>
    <row r="312" s="27" customFormat="1" x14ac:dyDescent="0.15"/>
    <row r="313" s="27" customFormat="1" x14ac:dyDescent="0.15"/>
    <row r="314" s="27" customFormat="1" x14ac:dyDescent="0.15"/>
    <row r="315" s="27" customFormat="1" x14ac:dyDescent="0.15"/>
    <row r="316" s="27" customFormat="1" x14ac:dyDescent="0.15"/>
    <row r="317" s="27" customFormat="1" x14ac:dyDescent="0.15"/>
    <row r="318" s="27" customFormat="1" x14ac:dyDescent="0.15"/>
    <row r="319" s="27" customFormat="1" x14ac:dyDescent="0.15"/>
    <row r="320" s="27" customFormat="1" x14ac:dyDescent="0.15"/>
    <row r="321" s="27" customFormat="1" x14ac:dyDescent="0.15"/>
    <row r="322" s="27" customFormat="1" x14ac:dyDescent="0.15"/>
    <row r="323" s="27" customFormat="1" x14ac:dyDescent="0.15"/>
    <row r="324" s="27" customFormat="1" x14ac:dyDescent="0.15"/>
    <row r="325" s="27" customFormat="1" x14ac:dyDescent="0.15"/>
    <row r="326" s="27" customFormat="1" x14ac:dyDescent="0.15"/>
    <row r="327" s="27" customFormat="1" x14ac:dyDescent="0.15"/>
    <row r="328" s="27" customFormat="1" x14ac:dyDescent="0.15"/>
    <row r="329" s="27" customFormat="1" x14ac:dyDescent="0.15"/>
    <row r="330" s="27" customFormat="1" x14ac:dyDescent="0.15"/>
    <row r="331" s="27" customFormat="1" x14ac:dyDescent="0.15"/>
    <row r="332" s="27" customFormat="1" x14ac:dyDescent="0.15"/>
    <row r="333" s="27" customFormat="1" x14ac:dyDescent="0.15"/>
    <row r="334" s="27" customFormat="1" x14ac:dyDescent="0.15"/>
    <row r="335" s="27" customFormat="1" x14ac:dyDescent="0.15"/>
    <row r="336" s="27" customFormat="1" x14ac:dyDescent="0.15"/>
    <row r="337" s="27" customFormat="1" x14ac:dyDescent="0.15"/>
    <row r="338" s="27" customFormat="1" x14ac:dyDescent="0.15"/>
    <row r="339" s="27" customFormat="1" x14ac:dyDescent="0.15"/>
    <row r="340" s="27" customFormat="1" x14ac:dyDescent="0.15"/>
    <row r="341" s="27" customFormat="1" x14ac:dyDescent="0.15"/>
    <row r="342" s="27" customFormat="1" x14ac:dyDescent="0.15"/>
    <row r="343" s="27" customFormat="1" x14ac:dyDescent="0.15"/>
    <row r="344" s="27" customFormat="1" x14ac:dyDescent="0.15"/>
    <row r="345" s="27" customFormat="1" x14ac:dyDescent="0.15"/>
    <row r="346" s="27" customFormat="1" x14ac:dyDescent="0.15"/>
    <row r="347" s="27" customFormat="1" x14ac:dyDescent="0.15"/>
    <row r="348" s="27" customFormat="1" x14ac:dyDescent="0.15"/>
    <row r="349" s="27" customFormat="1" x14ac:dyDescent="0.15"/>
    <row r="350" s="27" customFormat="1" x14ac:dyDescent="0.15"/>
    <row r="351" s="27" customFormat="1" x14ac:dyDescent="0.15"/>
    <row r="352" s="27" customFormat="1" x14ac:dyDescent="0.15"/>
    <row r="353" s="27" customFormat="1" x14ac:dyDescent="0.15"/>
    <row r="354" s="27" customFormat="1" x14ac:dyDescent="0.15"/>
    <row r="355" s="27" customFormat="1" x14ac:dyDescent="0.15"/>
    <row r="356" s="27" customFormat="1" x14ac:dyDescent="0.15"/>
    <row r="357" s="27" customFormat="1" x14ac:dyDescent="0.15"/>
    <row r="358" s="27" customFormat="1" x14ac:dyDescent="0.15"/>
    <row r="359" s="27" customFormat="1" x14ac:dyDescent="0.15"/>
    <row r="360" s="27" customFormat="1" x14ac:dyDescent="0.15"/>
    <row r="361" s="27" customFormat="1" x14ac:dyDescent="0.15"/>
    <row r="362" s="27" customFormat="1" x14ac:dyDescent="0.15"/>
    <row r="363" s="27" customFormat="1" x14ac:dyDescent="0.15"/>
    <row r="364" s="27" customFormat="1" x14ac:dyDescent="0.15"/>
    <row r="365" s="27" customFormat="1" x14ac:dyDescent="0.15"/>
    <row r="366" s="27" customFormat="1" x14ac:dyDescent="0.15"/>
    <row r="367" s="27" customFormat="1" x14ac:dyDescent="0.15"/>
    <row r="368" s="27" customFormat="1" x14ac:dyDescent="0.15"/>
    <row r="369" s="27" customFormat="1" x14ac:dyDescent="0.15"/>
    <row r="370" s="27" customFormat="1" x14ac:dyDescent="0.15"/>
    <row r="371" s="27" customFormat="1" x14ac:dyDescent="0.15"/>
    <row r="372" s="27" customFormat="1" x14ac:dyDescent="0.15"/>
    <row r="373" s="27" customFormat="1" x14ac:dyDescent="0.15"/>
    <row r="374" s="27" customFormat="1" x14ac:dyDescent="0.15"/>
    <row r="375" s="27" customFormat="1" x14ac:dyDescent="0.15"/>
    <row r="376" s="27" customFormat="1" x14ac:dyDescent="0.15"/>
    <row r="377" s="27" customFormat="1" x14ac:dyDescent="0.15"/>
    <row r="378" s="27" customFormat="1" x14ac:dyDescent="0.15"/>
    <row r="379" s="27" customFormat="1" x14ac:dyDescent="0.15"/>
    <row r="380" s="27" customFormat="1" x14ac:dyDescent="0.15"/>
    <row r="381" s="27" customFormat="1" x14ac:dyDescent="0.15"/>
    <row r="382" s="27" customFormat="1" x14ac:dyDescent="0.15"/>
    <row r="383" s="27" customFormat="1" x14ac:dyDescent="0.15"/>
    <row r="384" s="27" customFormat="1" x14ac:dyDescent="0.15"/>
    <row r="385" s="27" customFormat="1" x14ac:dyDescent="0.15"/>
    <row r="386" s="27" customFormat="1" x14ac:dyDescent="0.15"/>
    <row r="387" s="27" customFormat="1" x14ac:dyDescent="0.15"/>
    <row r="388" s="27" customFormat="1" x14ac:dyDescent="0.15"/>
    <row r="389" s="27" customFormat="1" x14ac:dyDescent="0.15"/>
    <row r="390" s="27" customFormat="1" x14ac:dyDescent="0.15"/>
    <row r="391" s="27" customFormat="1" x14ac:dyDescent="0.15"/>
    <row r="392" s="27" customFormat="1" x14ac:dyDescent="0.15"/>
    <row r="393" s="27" customFormat="1" x14ac:dyDescent="0.15"/>
    <row r="394" s="27" customFormat="1" x14ac:dyDescent="0.15"/>
    <row r="395" s="27" customFormat="1" x14ac:dyDescent="0.15"/>
    <row r="396" s="27" customFormat="1" x14ac:dyDescent="0.15"/>
    <row r="397" s="27" customFormat="1" x14ac:dyDescent="0.15"/>
    <row r="398" s="27" customFormat="1" x14ac:dyDescent="0.15"/>
    <row r="399" s="27" customFormat="1" x14ac:dyDescent="0.15"/>
    <row r="400" s="27" customFormat="1" x14ac:dyDescent="0.15"/>
    <row r="401" s="27" customFormat="1" x14ac:dyDescent="0.15"/>
    <row r="402" s="27" customFormat="1" x14ac:dyDescent="0.15"/>
    <row r="403" s="27" customFormat="1" x14ac:dyDescent="0.15"/>
    <row r="404" s="27" customFormat="1" x14ac:dyDescent="0.15"/>
    <row r="405" s="27" customFormat="1" x14ac:dyDescent="0.15"/>
    <row r="406" s="27" customFormat="1" x14ac:dyDescent="0.15"/>
    <row r="407" s="27" customFormat="1" x14ac:dyDescent="0.15"/>
    <row r="408" s="27" customFormat="1" x14ac:dyDescent="0.15"/>
    <row r="409" s="27" customFormat="1" x14ac:dyDescent="0.15"/>
    <row r="410" s="27" customFormat="1" x14ac:dyDescent="0.15"/>
    <row r="411" s="27" customFormat="1" x14ac:dyDescent="0.15"/>
    <row r="412" s="27" customFormat="1" x14ac:dyDescent="0.15"/>
    <row r="413" s="27" customFormat="1" x14ac:dyDescent="0.15"/>
    <row r="414" s="27" customFormat="1" x14ac:dyDescent="0.15"/>
    <row r="415" s="27" customFormat="1" x14ac:dyDescent="0.15"/>
    <row r="416" s="27" customFormat="1" x14ac:dyDescent="0.15"/>
    <row r="417" s="27" customFormat="1" x14ac:dyDescent="0.15"/>
    <row r="418" s="27" customFormat="1" x14ac:dyDescent="0.15"/>
    <row r="419" s="27" customFormat="1" x14ac:dyDescent="0.15"/>
    <row r="420" s="27" customFormat="1" x14ac:dyDescent="0.15"/>
    <row r="421" s="27" customFormat="1" x14ac:dyDescent="0.15"/>
    <row r="422" s="27" customFormat="1" x14ac:dyDescent="0.15"/>
    <row r="423" s="27" customFormat="1" x14ac:dyDescent="0.15"/>
    <row r="424" s="27" customFormat="1" x14ac:dyDescent="0.15"/>
    <row r="425" s="27" customFormat="1" x14ac:dyDescent="0.15"/>
    <row r="426" s="27" customFormat="1" x14ac:dyDescent="0.15"/>
    <row r="427" s="27" customFormat="1" x14ac:dyDescent="0.15"/>
    <row r="428" s="27" customFormat="1" x14ac:dyDescent="0.15"/>
    <row r="429" s="27" customFormat="1" x14ac:dyDescent="0.15"/>
    <row r="430" s="27" customFormat="1" x14ac:dyDescent="0.15"/>
    <row r="431" s="27" customFormat="1" x14ac:dyDescent="0.15"/>
    <row r="432" s="27" customFormat="1" x14ac:dyDescent="0.15"/>
    <row r="433" s="27" customFormat="1" x14ac:dyDescent="0.15"/>
    <row r="434" s="27" customFormat="1" x14ac:dyDescent="0.15"/>
    <row r="435" s="27" customFormat="1" x14ac:dyDescent="0.15"/>
    <row r="436" s="27" customFormat="1" x14ac:dyDescent="0.15"/>
    <row r="437" s="27" customFormat="1" x14ac:dyDescent="0.15"/>
    <row r="438" s="27" customFormat="1" x14ac:dyDescent="0.15"/>
    <row r="439" s="27" customFormat="1" x14ac:dyDescent="0.15"/>
    <row r="440" s="27" customFormat="1" x14ac:dyDescent="0.15"/>
    <row r="441" s="27" customFormat="1" x14ac:dyDescent="0.15"/>
    <row r="442" s="27" customFormat="1" x14ac:dyDescent="0.15"/>
    <row r="443" s="27" customFormat="1" x14ac:dyDescent="0.15"/>
    <row r="444" s="27" customFormat="1" x14ac:dyDescent="0.15"/>
    <row r="445" s="27" customFormat="1" x14ac:dyDescent="0.15"/>
    <row r="446" s="27" customFormat="1" x14ac:dyDescent="0.15"/>
    <row r="447" s="27" customFormat="1" x14ac:dyDescent="0.15"/>
    <row r="448" s="27" customFormat="1" x14ac:dyDescent="0.15"/>
    <row r="449" s="27" customFormat="1" x14ac:dyDescent="0.15"/>
    <row r="450" s="27" customFormat="1" x14ac:dyDescent="0.15"/>
    <row r="451" s="27" customFormat="1" x14ac:dyDescent="0.15"/>
    <row r="452" s="27" customFormat="1" x14ac:dyDescent="0.15"/>
    <row r="453" s="27" customFormat="1" x14ac:dyDescent="0.15"/>
    <row r="454" s="27" customFormat="1" x14ac:dyDescent="0.15"/>
    <row r="455" s="27" customFormat="1" x14ac:dyDescent="0.15"/>
    <row r="456" s="27" customFormat="1" x14ac:dyDescent="0.15"/>
    <row r="457" s="27" customFormat="1" x14ac:dyDescent="0.15"/>
    <row r="458" s="27" customFormat="1" x14ac:dyDescent="0.15"/>
    <row r="459" s="27" customFormat="1" x14ac:dyDescent="0.15"/>
    <row r="460" s="27" customFormat="1" x14ac:dyDescent="0.15"/>
    <row r="461" s="27" customFormat="1" x14ac:dyDescent="0.15"/>
    <row r="462" s="27" customFormat="1" x14ac:dyDescent="0.15"/>
    <row r="463" s="27" customFormat="1" x14ac:dyDescent="0.15"/>
    <row r="464" s="27" customFormat="1" x14ac:dyDescent="0.15"/>
    <row r="465" s="27" customFormat="1" x14ac:dyDescent="0.15"/>
    <row r="466" s="27" customFormat="1" x14ac:dyDescent="0.15"/>
    <row r="467" s="27" customFormat="1" x14ac:dyDescent="0.15"/>
    <row r="468" s="27" customFormat="1" x14ac:dyDescent="0.15"/>
    <row r="469" s="27" customFormat="1" x14ac:dyDescent="0.15"/>
    <row r="470" s="27" customFormat="1" x14ac:dyDescent="0.15"/>
    <row r="471" s="27" customFormat="1" x14ac:dyDescent="0.15"/>
    <row r="472" s="27" customFormat="1" x14ac:dyDescent="0.15"/>
    <row r="473" s="27" customFormat="1" x14ac:dyDescent="0.15"/>
    <row r="474" s="27" customFormat="1" x14ac:dyDescent="0.15"/>
    <row r="475" s="27" customFormat="1" x14ac:dyDescent="0.15"/>
    <row r="476" s="27" customFormat="1" x14ac:dyDescent="0.15"/>
    <row r="477" s="27" customFormat="1" x14ac:dyDescent="0.15"/>
    <row r="478" s="27" customFormat="1" x14ac:dyDescent="0.15"/>
    <row r="479" s="27" customFormat="1" x14ac:dyDescent="0.15"/>
    <row r="480" s="27" customFormat="1" x14ac:dyDescent="0.15"/>
    <row r="481" s="27" customFormat="1" x14ac:dyDescent="0.15"/>
    <row r="482" s="27" customFormat="1" x14ac:dyDescent="0.15"/>
    <row r="483" s="27" customFormat="1" x14ac:dyDescent="0.15"/>
    <row r="484" s="27" customFormat="1" x14ac:dyDescent="0.15"/>
    <row r="485" s="27" customFormat="1" x14ac:dyDescent="0.15"/>
    <row r="486" s="27" customFormat="1" x14ac:dyDescent="0.15"/>
    <row r="487" s="27" customFormat="1" x14ac:dyDescent="0.15"/>
    <row r="488" s="27" customFormat="1" x14ac:dyDescent="0.15"/>
    <row r="489" s="27" customFormat="1" x14ac:dyDescent="0.15"/>
    <row r="490" s="27" customFormat="1" x14ac:dyDescent="0.15"/>
    <row r="491" s="27" customFormat="1" x14ac:dyDescent="0.15"/>
    <row r="492" s="27" customFormat="1" x14ac:dyDescent="0.15"/>
    <row r="493" s="27" customFormat="1" x14ac:dyDescent="0.15"/>
    <row r="494" s="27" customFormat="1" x14ac:dyDescent="0.15"/>
    <row r="495" s="27" customFormat="1" x14ac:dyDescent="0.15"/>
    <row r="496" s="27" customFormat="1" x14ac:dyDescent="0.15"/>
    <row r="497" s="27" customFormat="1" x14ac:dyDescent="0.15"/>
    <row r="498" s="27" customFormat="1" x14ac:dyDescent="0.15"/>
    <row r="499" s="27" customFormat="1" x14ac:dyDescent="0.15"/>
    <row r="500" s="27" customFormat="1" x14ac:dyDescent="0.15"/>
    <row r="501" s="27" customFormat="1" x14ac:dyDescent="0.15"/>
    <row r="502" s="27" customFormat="1" x14ac:dyDescent="0.15"/>
    <row r="503" s="27" customFormat="1" x14ac:dyDescent="0.15"/>
    <row r="504" s="27" customFormat="1" x14ac:dyDescent="0.15"/>
    <row r="505" s="27" customFormat="1" x14ac:dyDescent="0.15"/>
    <row r="506" s="27" customFormat="1" x14ac:dyDescent="0.15"/>
    <row r="507" s="27" customFormat="1" x14ac:dyDescent="0.15"/>
    <row r="508" s="27" customFormat="1" x14ac:dyDescent="0.15"/>
    <row r="509" s="27" customFormat="1" x14ac:dyDescent="0.15"/>
    <row r="510" s="27" customFormat="1" x14ac:dyDescent="0.15"/>
    <row r="511" s="27" customFormat="1" x14ac:dyDescent="0.15"/>
    <row r="512" s="27" customFormat="1" x14ac:dyDescent="0.15"/>
    <row r="513" s="27" customFormat="1" x14ac:dyDescent="0.15"/>
    <row r="514" s="27" customFormat="1" x14ac:dyDescent="0.15"/>
    <row r="515" s="27" customFormat="1" x14ac:dyDescent="0.15"/>
    <row r="516" s="27" customFormat="1" x14ac:dyDescent="0.15"/>
    <row r="517" s="27" customFormat="1" x14ac:dyDescent="0.15"/>
    <row r="518" s="27" customFormat="1" x14ac:dyDescent="0.15"/>
    <row r="519" s="27" customFormat="1" x14ac:dyDescent="0.15"/>
    <row r="520" s="27" customFormat="1" x14ac:dyDescent="0.15"/>
    <row r="521" s="27" customFormat="1" x14ac:dyDescent="0.15"/>
    <row r="522" s="27" customFormat="1" x14ac:dyDescent="0.15"/>
    <row r="523" s="27" customFormat="1" x14ac:dyDescent="0.15"/>
    <row r="524" s="27" customFormat="1" x14ac:dyDescent="0.15"/>
    <row r="525" s="27" customFormat="1" x14ac:dyDescent="0.15"/>
    <row r="526" s="27" customFormat="1" x14ac:dyDescent="0.15"/>
    <row r="527" s="27" customFormat="1" x14ac:dyDescent="0.15"/>
    <row r="528" s="27" customFormat="1" x14ac:dyDescent="0.15"/>
    <row r="529" s="27" customFormat="1" x14ac:dyDescent="0.15"/>
    <row r="530" s="27" customFormat="1" x14ac:dyDescent="0.15"/>
    <row r="531" s="27" customFormat="1" x14ac:dyDescent="0.15"/>
    <row r="532" s="27" customFormat="1" x14ac:dyDescent="0.15"/>
    <row r="533" s="27" customFormat="1" x14ac:dyDescent="0.15"/>
    <row r="534" s="27" customFormat="1" x14ac:dyDescent="0.15"/>
    <row r="535" s="27" customFormat="1" x14ac:dyDescent="0.15"/>
    <row r="536" s="27" customFormat="1" x14ac:dyDescent="0.15"/>
    <row r="537" s="27" customFormat="1" x14ac:dyDescent="0.15"/>
    <row r="538" s="27" customFormat="1" x14ac:dyDescent="0.15"/>
    <row r="539" s="27" customFormat="1" x14ac:dyDescent="0.15"/>
    <row r="540" s="27" customFormat="1" x14ac:dyDescent="0.15"/>
    <row r="541" s="27" customFormat="1" x14ac:dyDescent="0.15"/>
    <row r="542" s="27" customFormat="1" x14ac:dyDescent="0.15"/>
    <row r="543" s="27" customFormat="1" x14ac:dyDescent="0.15"/>
    <row r="544" s="27" customFormat="1" x14ac:dyDescent="0.15"/>
    <row r="545" s="27" customFormat="1" x14ac:dyDescent="0.15"/>
    <row r="546" s="27" customFormat="1" x14ac:dyDescent="0.15"/>
    <row r="547" s="27" customFormat="1" x14ac:dyDescent="0.15"/>
    <row r="548" s="27" customFormat="1" x14ac:dyDescent="0.15"/>
    <row r="549" s="27" customFormat="1" x14ac:dyDescent="0.15"/>
    <row r="550" s="27" customFormat="1" x14ac:dyDescent="0.15"/>
    <row r="551" s="27" customFormat="1" x14ac:dyDescent="0.15"/>
    <row r="552" s="27" customFormat="1" x14ac:dyDescent="0.15"/>
    <row r="553" s="27" customFormat="1" x14ac:dyDescent="0.15"/>
    <row r="554" s="27" customFormat="1" x14ac:dyDescent="0.15"/>
    <row r="555" s="27" customFormat="1" x14ac:dyDescent="0.15"/>
    <row r="556" s="27" customFormat="1" x14ac:dyDescent="0.15"/>
    <row r="557" s="27" customFormat="1" x14ac:dyDescent="0.15"/>
    <row r="558" s="27" customFormat="1" x14ac:dyDescent="0.15"/>
    <row r="559" s="27" customFormat="1" x14ac:dyDescent="0.15"/>
    <row r="560" s="27" customFormat="1" x14ac:dyDescent="0.15"/>
    <row r="561" s="27" customFormat="1" x14ac:dyDescent="0.15"/>
    <row r="562" s="27" customFormat="1" x14ac:dyDescent="0.15"/>
    <row r="563" s="27" customFormat="1" x14ac:dyDescent="0.15"/>
    <row r="564" s="27" customFormat="1" x14ac:dyDescent="0.15"/>
    <row r="565" s="27" customFormat="1" x14ac:dyDescent="0.15"/>
    <row r="566" s="27" customFormat="1" x14ac:dyDescent="0.15"/>
    <row r="567" s="27" customFormat="1" x14ac:dyDescent="0.15"/>
    <row r="568" s="27" customFormat="1" x14ac:dyDescent="0.15"/>
    <row r="569" s="27" customFormat="1" x14ac:dyDescent="0.15"/>
    <row r="570" s="27" customFormat="1" x14ac:dyDescent="0.15"/>
    <row r="571" s="27" customFormat="1" x14ac:dyDescent="0.15"/>
    <row r="572" s="27" customFormat="1" x14ac:dyDescent="0.15"/>
    <row r="573" s="27" customFormat="1" x14ac:dyDescent="0.15"/>
    <row r="574" s="27" customFormat="1" x14ac:dyDescent="0.15"/>
    <row r="575" s="27" customFormat="1" x14ac:dyDescent="0.15"/>
    <row r="576" s="27" customFormat="1" x14ac:dyDescent="0.15"/>
    <row r="577" s="27" customFormat="1" x14ac:dyDescent="0.15"/>
    <row r="578" s="27" customFormat="1" x14ac:dyDescent="0.15"/>
    <row r="579" s="27" customFormat="1" x14ac:dyDescent="0.15"/>
    <row r="580" s="27" customFormat="1" x14ac:dyDescent="0.15"/>
    <row r="581" s="27" customFormat="1" x14ac:dyDescent="0.15"/>
    <row r="582" s="27" customFormat="1" x14ac:dyDescent="0.15"/>
    <row r="583" s="27" customFormat="1" x14ac:dyDescent="0.15"/>
    <row r="584" s="27" customFormat="1" x14ac:dyDescent="0.15"/>
    <row r="585" s="27" customFormat="1" x14ac:dyDescent="0.15"/>
    <row r="586" s="27" customFormat="1" x14ac:dyDescent="0.15"/>
    <row r="587" s="27" customFormat="1" x14ac:dyDescent="0.15"/>
    <row r="588" s="27" customFormat="1" x14ac:dyDescent="0.15"/>
    <row r="589" s="27" customFormat="1" x14ac:dyDescent="0.15"/>
    <row r="590" s="27" customFormat="1" x14ac:dyDescent="0.15"/>
    <row r="591" s="27" customFormat="1" x14ac:dyDescent="0.15"/>
    <row r="592" s="27" customFormat="1" x14ac:dyDescent="0.15"/>
    <row r="593" s="27" customFormat="1" x14ac:dyDescent="0.15"/>
    <row r="594" s="27" customFormat="1" x14ac:dyDescent="0.15"/>
    <row r="595" s="27" customFormat="1" x14ac:dyDescent="0.15"/>
    <row r="596" s="27" customFormat="1" x14ac:dyDescent="0.15"/>
    <row r="597" s="27" customFormat="1" x14ac:dyDescent="0.15"/>
    <row r="598" s="27" customFormat="1" x14ac:dyDescent="0.15"/>
    <row r="599" s="27" customFormat="1" x14ac:dyDescent="0.15"/>
    <row r="600" s="27" customFormat="1" x14ac:dyDescent="0.15"/>
    <row r="601" s="27" customFormat="1" x14ac:dyDescent="0.15"/>
    <row r="602" s="27" customFormat="1" x14ac:dyDescent="0.15"/>
    <row r="603" s="27" customFormat="1" x14ac:dyDescent="0.15"/>
    <row r="604" s="27" customFormat="1" x14ac:dyDescent="0.15"/>
    <row r="605" s="27" customFormat="1" x14ac:dyDescent="0.15"/>
    <row r="606" s="27" customFormat="1" x14ac:dyDescent="0.15"/>
    <row r="607" s="27" customFormat="1" x14ac:dyDescent="0.15"/>
    <row r="608" s="27" customFormat="1" x14ac:dyDescent="0.15"/>
    <row r="609" s="27" customFormat="1" x14ac:dyDescent="0.15"/>
    <row r="610" s="27" customFormat="1" x14ac:dyDescent="0.15"/>
    <row r="611" s="27" customFormat="1" x14ac:dyDescent="0.15"/>
    <row r="612" s="27" customFormat="1" x14ac:dyDescent="0.15"/>
    <row r="613" s="27" customFormat="1" x14ac:dyDescent="0.15"/>
    <row r="614" s="27" customFormat="1" x14ac:dyDescent="0.15"/>
    <row r="615" s="27" customFormat="1" x14ac:dyDescent="0.15"/>
    <row r="616" s="27" customFormat="1" x14ac:dyDescent="0.15"/>
    <row r="617" s="27" customFormat="1" x14ac:dyDescent="0.15"/>
    <row r="618" s="27" customFormat="1" x14ac:dyDescent="0.15"/>
    <row r="619" s="27" customFormat="1" x14ac:dyDescent="0.15"/>
    <row r="620" s="27" customFormat="1" x14ac:dyDescent="0.15"/>
    <row r="621" s="27" customFormat="1" x14ac:dyDescent="0.15"/>
    <row r="622" s="27" customFormat="1" x14ac:dyDescent="0.15"/>
    <row r="623" s="27" customFormat="1" x14ac:dyDescent="0.15"/>
    <row r="624" s="27" customFormat="1" x14ac:dyDescent="0.15"/>
    <row r="625" s="27" customFormat="1" x14ac:dyDescent="0.15"/>
    <row r="626" s="27" customFormat="1" x14ac:dyDescent="0.15"/>
    <row r="627" s="27" customFormat="1" x14ac:dyDescent="0.15"/>
    <row r="628" s="27" customFormat="1" x14ac:dyDescent="0.15"/>
    <row r="629" s="27" customFormat="1" x14ac:dyDescent="0.15"/>
    <row r="630" s="27" customFormat="1" x14ac:dyDescent="0.15"/>
    <row r="631" s="27" customFormat="1" x14ac:dyDescent="0.15"/>
    <row r="632" s="27" customFormat="1" x14ac:dyDescent="0.15"/>
    <row r="633" s="27" customFormat="1" x14ac:dyDescent="0.15"/>
    <row r="634" s="27" customFormat="1" x14ac:dyDescent="0.15"/>
    <row r="635" s="27" customFormat="1" x14ac:dyDescent="0.15"/>
    <row r="636" s="27" customFormat="1" x14ac:dyDescent="0.15"/>
    <row r="637" s="27" customFormat="1" x14ac:dyDescent="0.15"/>
    <row r="638" s="27" customFormat="1" x14ac:dyDescent="0.15"/>
    <row r="639" s="27" customFormat="1" x14ac:dyDescent="0.15"/>
    <row r="640" s="27" customFormat="1" x14ac:dyDescent="0.15"/>
    <row r="641" s="27" customFormat="1" x14ac:dyDescent="0.15"/>
    <row r="642" s="27" customFormat="1" x14ac:dyDescent="0.15"/>
    <row r="643" s="27" customFormat="1" x14ac:dyDescent="0.15"/>
    <row r="644" s="27" customFormat="1" x14ac:dyDescent="0.15"/>
    <row r="645" s="27" customFormat="1" x14ac:dyDescent="0.15"/>
    <row r="646" s="27" customFormat="1" x14ac:dyDescent="0.15"/>
    <row r="647" s="27" customFormat="1" x14ac:dyDescent="0.15"/>
    <row r="648" s="27" customFormat="1" x14ac:dyDescent="0.15"/>
    <row r="649" s="27" customFormat="1" x14ac:dyDescent="0.15"/>
    <row r="650" s="27" customFormat="1" x14ac:dyDescent="0.15"/>
    <row r="651" s="27" customFormat="1" x14ac:dyDescent="0.15"/>
    <row r="652" s="27" customFormat="1" x14ac:dyDescent="0.15"/>
    <row r="653" s="27" customFormat="1" x14ac:dyDescent="0.15"/>
    <row r="654" s="27" customFormat="1" x14ac:dyDescent="0.15"/>
    <row r="655" s="27" customFormat="1" x14ac:dyDescent="0.15"/>
    <row r="656" s="27" customFormat="1" x14ac:dyDescent="0.15"/>
    <row r="657" s="27" customFormat="1" x14ac:dyDescent="0.15"/>
    <row r="658" s="27" customFormat="1" x14ac:dyDescent="0.15"/>
    <row r="659" s="27" customFormat="1" x14ac:dyDescent="0.15"/>
    <row r="660" s="27" customFormat="1" x14ac:dyDescent="0.15"/>
    <row r="661" s="27" customFormat="1" x14ac:dyDescent="0.15"/>
    <row r="662" s="27" customFormat="1" x14ac:dyDescent="0.15"/>
    <row r="663" s="27" customFormat="1" x14ac:dyDescent="0.15"/>
    <row r="664" s="27" customFormat="1" x14ac:dyDescent="0.15"/>
    <row r="665" s="27" customFormat="1" x14ac:dyDescent="0.15"/>
    <row r="666" s="27" customFormat="1" x14ac:dyDescent="0.15"/>
    <row r="667" s="27" customFormat="1" x14ac:dyDescent="0.15"/>
    <row r="668" s="27" customFormat="1" x14ac:dyDescent="0.15"/>
    <row r="669" s="27" customFormat="1" x14ac:dyDescent="0.15"/>
    <row r="670" s="27" customFormat="1" x14ac:dyDescent="0.15"/>
    <row r="671" s="27" customFormat="1" x14ac:dyDescent="0.15"/>
    <row r="672" s="27" customFormat="1" x14ac:dyDescent="0.15"/>
    <row r="673" s="27" customFormat="1" x14ac:dyDescent="0.15"/>
    <row r="674" s="27" customFormat="1" x14ac:dyDescent="0.15"/>
    <row r="675" s="27" customFormat="1" x14ac:dyDescent="0.15"/>
    <row r="676" s="27" customFormat="1" x14ac:dyDescent="0.15"/>
    <row r="677" s="27" customFormat="1" x14ac:dyDescent="0.15"/>
    <row r="678" s="27" customFormat="1" x14ac:dyDescent="0.15"/>
    <row r="679" s="27" customFormat="1" x14ac:dyDescent="0.15"/>
    <row r="680" s="27" customFormat="1" x14ac:dyDescent="0.15"/>
    <row r="681" s="27" customFormat="1" x14ac:dyDescent="0.15"/>
    <row r="682" s="27" customFormat="1" x14ac:dyDescent="0.15"/>
    <row r="683" s="27" customFormat="1" x14ac:dyDescent="0.15"/>
    <row r="684" s="27" customFormat="1" x14ac:dyDescent="0.15"/>
    <row r="685" s="27" customFormat="1" x14ac:dyDescent="0.15"/>
    <row r="686" s="27" customFormat="1" x14ac:dyDescent="0.15"/>
    <row r="687" s="27" customFormat="1" x14ac:dyDescent="0.15"/>
    <row r="688" s="27" customFormat="1" x14ac:dyDescent="0.15"/>
    <row r="689" s="27" customFormat="1" x14ac:dyDescent="0.15"/>
    <row r="690" s="27" customFormat="1" x14ac:dyDescent="0.15"/>
    <row r="691" s="27" customFormat="1" x14ac:dyDescent="0.15"/>
    <row r="692" s="27" customFormat="1" x14ac:dyDescent="0.15"/>
    <row r="693" s="27" customFormat="1" x14ac:dyDescent="0.15"/>
    <row r="694" s="27" customFormat="1" x14ac:dyDescent="0.15"/>
    <row r="695" s="27" customFormat="1" x14ac:dyDescent="0.15"/>
    <row r="696" s="27" customFormat="1" x14ac:dyDescent="0.15"/>
    <row r="697" s="27" customFormat="1" x14ac:dyDescent="0.15"/>
    <row r="698" s="27" customFormat="1" x14ac:dyDescent="0.15"/>
    <row r="699" s="27" customFormat="1" x14ac:dyDescent="0.15"/>
    <row r="700" s="27" customFormat="1" x14ac:dyDescent="0.15"/>
    <row r="701" s="27" customFormat="1" x14ac:dyDescent="0.15"/>
    <row r="702" s="27" customFormat="1" x14ac:dyDescent="0.15"/>
    <row r="703" s="27" customFormat="1" x14ac:dyDescent="0.15"/>
    <row r="704" s="27" customFormat="1" x14ac:dyDescent="0.15"/>
    <row r="705" s="27" customFormat="1" x14ac:dyDescent="0.15"/>
    <row r="706" s="27" customFormat="1" x14ac:dyDescent="0.15"/>
    <row r="707" s="27" customFormat="1" x14ac:dyDescent="0.15"/>
    <row r="708" s="27" customFormat="1" x14ac:dyDescent="0.15"/>
    <row r="709" s="27" customFormat="1" x14ac:dyDescent="0.15"/>
    <row r="710" s="27" customFormat="1" x14ac:dyDescent="0.15"/>
    <row r="711" s="27" customFormat="1" x14ac:dyDescent="0.15"/>
    <row r="712" s="27" customFormat="1" x14ac:dyDescent="0.15"/>
    <row r="713" s="27" customFormat="1" x14ac:dyDescent="0.15"/>
    <row r="714" s="27" customFormat="1" x14ac:dyDescent="0.15"/>
    <row r="715" s="27" customFormat="1" x14ac:dyDescent="0.15"/>
    <row r="716" s="27" customFormat="1" x14ac:dyDescent="0.15"/>
    <row r="717" s="27" customFormat="1" x14ac:dyDescent="0.15"/>
    <row r="718" s="27" customFormat="1" x14ac:dyDescent="0.15"/>
    <row r="719" s="27" customFormat="1" x14ac:dyDescent="0.15"/>
    <row r="720" s="27" customFormat="1" x14ac:dyDescent="0.15"/>
    <row r="721" s="27" customFormat="1" x14ac:dyDescent="0.15"/>
    <row r="722" s="27" customFormat="1" x14ac:dyDescent="0.15"/>
    <row r="723" s="27" customFormat="1" x14ac:dyDescent="0.15"/>
    <row r="724" s="27" customFormat="1" x14ac:dyDescent="0.15"/>
    <row r="725" s="27" customFormat="1" x14ac:dyDescent="0.15"/>
    <row r="726" s="27" customFormat="1" x14ac:dyDescent="0.15"/>
    <row r="727" s="27" customFormat="1" x14ac:dyDescent="0.15"/>
    <row r="728" s="27" customFormat="1" x14ac:dyDescent="0.15"/>
    <row r="729" s="27" customFormat="1" x14ac:dyDescent="0.15"/>
    <row r="730" s="27" customFormat="1" x14ac:dyDescent="0.15"/>
    <row r="731" s="27" customFormat="1" x14ac:dyDescent="0.15"/>
    <row r="732" s="27" customFormat="1" x14ac:dyDescent="0.15"/>
    <row r="733" s="27" customFormat="1" x14ac:dyDescent="0.15"/>
    <row r="734" s="27" customFormat="1" x14ac:dyDescent="0.15"/>
    <row r="735" s="27" customFormat="1" x14ac:dyDescent="0.15"/>
    <row r="736" s="27" customFormat="1" x14ac:dyDescent="0.15"/>
    <row r="737" s="27" customFormat="1" x14ac:dyDescent="0.15"/>
    <row r="738" s="27" customFormat="1" x14ac:dyDescent="0.15"/>
    <row r="739" s="27" customFormat="1" x14ac:dyDescent="0.15"/>
    <row r="740" s="27" customFormat="1" x14ac:dyDescent="0.15"/>
    <row r="741" s="27" customFormat="1" x14ac:dyDescent="0.15"/>
    <row r="742" s="27" customFormat="1" x14ac:dyDescent="0.15"/>
    <row r="743" s="27" customFormat="1" x14ac:dyDescent="0.15"/>
    <row r="744" s="27" customFormat="1" x14ac:dyDescent="0.15"/>
    <row r="745" s="27" customFormat="1" x14ac:dyDescent="0.15"/>
    <row r="746" s="27" customFormat="1" x14ac:dyDescent="0.15"/>
    <row r="747" s="27" customFormat="1" x14ac:dyDescent="0.15"/>
    <row r="748" s="27" customFormat="1" x14ac:dyDescent="0.15"/>
    <row r="749" s="27" customFormat="1" x14ac:dyDescent="0.15"/>
    <row r="750" s="27" customFormat="1" x14ac:dyDescent="0.15"/>
    <row r="751" s="27" customFormat="1" x14ac:dyDescent="0.15"/>
    <row r="752" s="27" customFormat="1" x14ac:dyDescent="0.15"/>
    <row r="753" s="27" customFormat="1" x14ac:dyDescent="0.15"/>
    <row r="754" s="27" customFormat="1" x14ac:dyDescent="0.15"/>
    <row r="755" s="27" customFormat="1" x14ac:dyDescent="0.15"/>
    <row r="756" s="27" customFormat="1" x14ac:dyDescent="0.15"/>
    <row r="757" s="27" customFormat="1" x14ac:dyDescent="0.15"/>
    <row r="758" s="27" customFormat="1" x14ac:dyDescent="0.15"/>
    <row r="759" s="27" customFormat="1" x14ac:dyDescent="0.15"/>
    <row r="760" s="27" customFormat="1" x14ac:dyDescent="0.15"/>
  </sheetData>
  <mergeCells count="37">
    <mergeCell ref="C57:E57"/>
    <mergeCell ref="H57:I57"/>
    <mergeCell ref="H58:I58"/>
    <mergeCell ref="G20:H20"/>
    <mergeCell ref="J20:K20"/>
    <mergeCell ref="K33:L33"/>
    <mergeCell ref="K34:L34"/>
    <mergeCell ref="K35:L35"/>
    <mergeCell ref="K36:L36"/>
    <mergeCell ref="K29:L29"/>
    <mergeCell ref="K30:L30"/>
    <mergeCell ref="K31:L31"/>
    <mergeCell ref="K32:L32"/>
    <mergeCell ref="O6:U6"/>
    <mergeCell ref="P7:U7"/>
    <mergeCell ref="P8:U8"/>
    <mergeCell ref="P9:U9"/>
    <mergeCell ref="K28:L28"/>
    <mergeCell ref="C15:L15"/>
    <mergeCell ref="K17:L17"/>
    <mergeCell ref="P24:P36"/>
    <mergeCell ref="K23:L23"/>
    <mergeCell ref="K24:L24"/>
    <mergeCell ref="K25:L25"/>
    <mergeCell ref="K26:L26"/>
    <mergeCell ref="K27:L27"/>
    <mergeCell ref="P43:P55"/>
    <mergeCell ref="C38:L38"/>
    <mergeCell ref="D40:E40"/>
    <mergeCell ref="D41:E41"/>
    <mergeCell ref="I41:J41"/>
    <mergeCell ref="I40:J40"/>
    <mergeCell ref="F1:J1"/>
    <mergeCell ref="F2:J2"/>
    <mergeCell ref="F3:J3"/>
    <mergeCell ref="F4:J4"/>
    <mergeCell ref="B5:J6"/>
  </mergeCells>
  <phoneticPr fontId="39" type="noConversion"/>
  <conditionalFormatting sqref="D25:D36">
    <cfRule type="expression" dxfId="8" priority="7">
      <formula>C25&lt;&gt;""</formula>
    </cfRule>
  </conditionalFormatting>
  <conditionalFormatting sqref="D27:D36">
    <cfRule type="expression" dxfId="7" priority="6">
      <formula>AND(C27="",D27&lt;&gt;"")</formula>
    </cfRule>
  </conditionalFormatting>
  <conditionalFormatting sqref="D43:D55">
    <cfRule type="expression" dxfId="6" priority="5">
      <formula>ISNUMBER(D25)</formula>
    </cfRule>
  </conditionalFormatting>
  <conditionalFormatting sqref="F25:F36">
    <cfRule type="expression" dxfId="5" priority="9">
      <formula>ISNUMBER(C25)</formula>
    </cfRule>
  </conditionalFormatting>
  <conditionalFormatting sqref="F26:F36">
    <cfRule type="expression" dxfId="4" priority="8">
      <formula>OR(AND(C26="ground",F26&lt;&gt;""),AND(C26="",F26&lt;&gt;""))</formula>
    </cfRule>
  </conditionalFormatting>
  <conditionalFormatting sqref="I43:I55">
    <cfRule type="expression" dxfId="3" priority="3">
      <formula>ISNUMBER(I25)</formula>
    </cfRule>
  </conditionalFormatting>
  <conditionalFormatting sqref="J43:J55">
    <cfRule type="expression" dxfId="2" priority="1">
      <formula>ISNUMBER(I25)</formula>
    </cfRule>
  </conditionalFormatting>
  <printOptions horizontalCentered="1"/>
  <pageMargins left="0.7" right="0.7" top="0.75" bottom="0.75" header="0.3" footer="0.3"/>
  <pageSetup scale="75" orientation="portrait" r:id="rId1"/>
  <headerFooter alignWithMargins="0"/>
  <ignoredErrors>
    <ignoredError sqref="G43:G46" evalErro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BZ111"/>
  <sheetViews>
    <sheetView tabSelected="1" zoomScaleNormal="100" zoomScaleSheetLayoutView="85" workbookViewId="0">
      <selection activeCell="O21" sqref="O21"/>
    </sheetView>
  </sheetViews>
  <sheetFormatPr defaultColWidth="9.140625" defaultRowHeight="12.75" x14ac:dyDescent="0.2"/>
  <cols>
    <col min="1" max="11" width="11.42578125" style="2" customWidth="1"/>
    <col min="12" max="12" width="9.140625" style="27"/>
    <col min="13" max="18" width="11.42578125" style="27" customWidth="1"/>
    <col min="19" max="22" width="8.5703125" style="27" customWidth="1"/>
    <col min="23" max="23" width="15.5703125" style="112" bestFit="1" customWidth="1"/>
    <col min="24" max="78" width="9.140625" style="112"/>
    <col min="79" max="16384" width="9.140625" style="2"/>
  </cols>
  <sheetData>
    <row r="1" spans="1:24" ht="15" customHeight="1" x14ac:dyDescent="0.25">
      <c r="A1" s="22"/>
      <c r="B1" s="23"/>
      <c r="C1" s="198" t="s">
        <v>131</v>
      </c>
      <c r="D1" s="338" t="str">
        <f>+IF('Site Ground Motions'!E1="","",'Site Ground Motions'!E1)</f>
        <v/>
      </c>
      <c r="E1" s="339"/>
      <c r="F1" s="339"/>
      <c r="G1" s="339"/>
      <c r="H1" s="340"/>
      <c r="I1" s="220" t="s">
        <v>132</v>
      </c>
      <c r="J1" s="207" t="str">
        <f>+IF('Site Ground Motions'!I1="","",'Site Ground Motions'!I1)</f>
        <v/>
      </c>
      <c r="K1" s="199" t="s">
        <v>133</v>
      </c>
      <c r="L1" s="24"/>
      <c r="M1" s="25" t="s">
        <v>134</v>
      </c>
      <c r="N1" s="26"/>
      <c r="O1" s="24"/>
      <c r="P1" s="24"/>
      <c r="Q1" s="24"/>
      <c r="R1" s="24"/>
      <c r="S1" s="24"/>
      <c r="T1" s="24"/>
      <c r="U1" s="24"/>
      <c r="V1" s="24"/>
      <c r="W1" s="205" t="s">
        <v>178</v>
      </c>
      <c r="X1" s="206">
        <f>'Site Ground Motions'!X1</f>
        <v>2.1</v>
      </c>
    </row>
    <row r="2" spans="1:24" ht="15" customHeight="1" x14ac:dyDescent="0.2">
      <c r="A2" s="28"/>
      <c r="B2" s="29"/>
      <c r="C2" s="198" t="s">
        <v>135</v>
      </c>
      <c r="D2" s="338" t="str">
        <f>+IF('Site Ground Motions'!E2="","",'Site Ground Motions'!E2)</f>
        <v/>
      </c>
      <c r="E2" s="339"/>
      <c r="F2" s="339"/>
      <c r="G2" s="339"/>
      <c r="H2" s="340"/>
      <c r="I2" s="220" t="s">
        <v>136</v>
      </c>
      <c r="J2" s="221" t="str">
        <f>+IF('Site Ground Motions'!I2="","",'Site Ground Motions'!I2)</f>
        <v/>
      </c>
      <c r="K2" s="202" t="s">
        <v>216</v>
      </c>
      <c r="L2" s="24"/>
      <c r="M2" s="26" t="s">
        <v>137</v>
      </c>
      <c r="N2" s="26"/>
      <c r="O2" s="24"/>
      <c r="P2" s="24"/>
      <c r="Q2" s="24"/>
      <c r="R2" s="24"/>
      <c r="S2" s="24"/>
      <c r="T2" s="24"/>
      <c r="U2" s="24"/>
      <c r="V2" s="24"/>
      <c r="W2" s="205" t="s">
        <v>179</v>
      </c>
      <c r="X2" s="216">
        <f>'Site Ground Motions'!X2</f>
        <v>45201</v>
      </c>
    </row>
    <row r="3" spans="1:24" ht="15" customHeight="1" x14ac:dyDescent="0.2">
      <c r="A3" s="28"/>
      <c r="B3" s="29"/>
      <c r="C3" s="198" t="s">
        <v>138</v>
      </c>
      <c r="D3" s="338" t="str">
        <f>+IF('Site Ground Motions'!E3="","",'Site Ground Motions'!E3)</f>
        <v/>
      </c>
      <c r="E3" s="339"/>
      <c r="F3" s="339"/>
      <c r="G3" s="339"/>
      <c r="H3" s="340"/>
      <c r="I3" s="220" t="s">
        <v>139</v>
      </c>
      <c r="J3" s="207" t="str">
        <f>+IF('Site Ground Motions'!I3="","",'Site Ground Motions'!I3)</f>
        <v/>
      </c>
      <c r="K3" s="199" t="s">
        <v>140</v>
      </c>
      <c r="L3" s="24"/>
      <c r="M3" s="30"/>
      <c r="N3" s="30"/>
      <c r="O3" s="24"/>
      <c r="P3" s="24"/>
      <c r="Q3" s="24"/>
      <c r="R3" s="24"/>
      <c r="S3" s="24"/>
      <c r="T3" s="24"/>
      <c r="U3" s="24"/>
      <c r="V3" s="24"/>
    </row>
    <row r="4" spans="1:24" ht="15" customHeight="1" x14ac:dyDescent="0.2">
      <c r="A4" s="31"/>
      <c r="B4" s="32"/>
      <c r="C4" s="198" t="s">
        <v>141</v>
      </c>
      <c r="D4" s="338" t="s">
        <v>159</v>
      </c>
      <c r="E4" s="339"/>
      <c r="F4" s="339"/>
      <c r="G4" s="339"/>
      <c r="H4" s="340"/>
      <c r="I4" s="220" t="s">
        <v>136</v>
      </c>
      <c r="J4" s="207" t="str">
        <f>+IF('Site Ground Motions'!I4="","",'Site Ground Motions'!I4)</f>
        <v/>
      </c>
      <c r="K4" s="222" t="str">
        <f>+IF('Site Ground Motions'!J4="","",'Site Ground Motions'!J4)</f>
        <v/>
      </c>
      <c r="L4" s="24"/>
      <c r="M4" s="30"/>
      <c r="N4" s="30"/>
      <c r="O4" s="24"/>
      <c r="P4" s="24"/>
      <c r="Q4" s="24"/>
      <c r="R4" s="24"/>
      <c r="S4" s="24"/>
      <c r="T4" s="24"/>
      <c r="U4" s="24"/>
      <c r="V4" s="24"/>
    </row>
    <row r="5" spans="1:24" ht="15" customHeight="1" x14ac:dyDescent="0.2">
      <c r="A5" s="7"/>
      <c r="K5" s="8"/>
      <c r="L5" s="24"/>
      <c r="M5" s="34"/>
      <c r="N5" s="30"/>
      <c r="O5" s="24"/>
      <c r="P5" s="24"/>
      <c r="Q5" s="24"/>
      <c r="R5" s="24"/>
      <c r="S5" s="24"/>
      <c r="T5" s="24"/>
      <c r="U5" s="24"/>
      <c r="V5" s="24"/>
    </row>
    <row r="6" spans="1:24" ht="15" customHeight="1" x14ac:dyDescent="0.25">
      <c r="A6" s="7"/>
      <c r="K6" s="8"/>
      <c r="L6" s="24"/>
      <c r="M6" s="320" t="s">
        <v>164</v>
      </c>
      <c r="N6" s="320"/>
      <c r="O6" s="24"/>
      <c r="P6" s="24"/>
      <c r="Q6" s="24"/>
      <c r="R6" s="24"/>
      <c r="S6" s="24"/>
      <c r="T6" s="24"/>
      <c r="U6" s="24"/>
      <c r="V6" s="24"/>
    </row>
    <row r="7" spans="1:24" ht="15" customHeight="1" thickBot="1" x14ac:dyDescent="0.3">
      <c r="A7" s="45" t="s">
        <v>155</v>
      </c>
      <c r="B7" s="1"/>
      <c r="C7" s="1"/>
      <c r="D7" s="1"/>
      <c r="E7" s="1"/>
      <c r="F7" s="1"/>
      <c r="G7" s="1"/>
      <c r="I7" s="10"/>
      <c r="K7" s="8"/>
      <c r="L7" s="24"/>
      <c r="M7" s="68"/>
      <c r="N7" s="69" t="s">
        <v>165</v>
      </c>
      <c r="O7" s="24"/>
      <c r="P7" s="24"/>
      <c r="Q7" s="24"/>
      <c r="R7" s="24"/>
      <c r="S7" s="24"/>
      <c r="T7" s="24"/>
      <c r="U7" s="24"/>
      <c r="V7" s="24"/>
    </row>
    <row r="8" spans="1:24" ht="15" customHeight="1" x14ac:dyDescent="0.25">
      <c r="A8" s="97"/>
      <c r="B8" s="10"/>
      <c r="C8" s="10"/>
      <c r="D8" s="10"/>
      <c r="E8" s="10"/>
      <c r="F8" s="10"/>
      <c r="G8" s="10"/>
      <c r="H8" s="10"/>
      <c r="I8" s="10"/>
      <c r="J8" s="10"/>
      <c r="K8" s="180"/>
      <c r="L8" s="24"/>
      <c r="M8" s="38">
        <v>888</v>
      </c>
      <c r="N8" s="70" t="s">
        <v>166</v>
      </c>
      <c r="O8" s="24"/>
      <c r="P8" s="24"/>
      <c r="Q8" s="24"/>
      <c r="R8" s="24"/>
      <c r="S8" s="24"/>
      <c r="T8" s="24"/>
      <c r="U8" s="24"/>
      <c r="V8" s="24"/>
    </row>
    <row r="9" spans="1:24" ht="15" customHeight="1" x14ac:dyDescent="0.25">
      <c r="A9" s="97"/>
      <c r="B9" s="181"/>
      <c r="C9" s="81" t="s">
        <v>35</v>
      </c>
      <c r="D9" s="179">
        <f>+'Vertical Distribution'!E9</f>
        <v>2022</v>
      </c>
      <c r="E9" s="233"/>
      <c r="F9" s="239"/>
      <c r="G9" s="305"/>
      <c r="H9" s="10"/>
      <c r="I9" s="10"/>
      <c r="J9" s="10"/>
      <c r="K9" s="180"/>
      <c r="L9" s="24"/>
      <c r="M9" s="71">
        <v>1.05</v>
      </c>
      <c r="N9" s="70" t="s">
        <v>167</v>
      </c>
      <c r="O9" s="24"/>
      <c r="P9" s="24"/>
      <c r="Q9" s="24"/>
      <c r="R9" s="24"/>
      <c r="S9" s="24"/>
      <c r="T9" s="24"/>
      <c r="U9" s="24"/>
      <c r="V9" s="24"/>
    </row>
    <row r="10" spans="1:24" ht="15" customHeight="1" x14ac:dyDescent="0.2">
      <c r="A10" s="97"/>
      <c r="B10" s="233"/>
      <c r="C10" s="235"/>
      <c r="D10" s="292"/>
      <c r="E10" s="233"/>
      <c r="F10" s="81" t="s">
        <v>143</v>
      </c>
      <c r="G10" s="179">
        <f ca="1">+'Vertical Distribution'!I12</f>
        <v>209.61174581939804</v>
      </c>
      <c r="H10" s="10"/>
      <c r="I10" s="10"/>
      <c r="J10" s="10"/>
      <c r="K10" s="180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4" ht="15" customHeight="1" x14ac:dyDescent="0.2">
      <c r="A11" s="97"/>
      <c r="B11" s="10"/>
      <c r="C11" s="10"/>
      <c r="D11" s="10"/>
      <c r="E11" s="10"/>
      <c r="F11" s="10"/>
      <c r="G11" s="10"/>
      <c r="H11" s="10"/>
      <c r="I11" s="10"/>
      <c r="J11" s="10"/>
      <c r="K11" s="180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4" ht="15" customHeight="1" x14ac:dyDescent="0.3">
      <c r="A12" s="97"/>
      <c r="B12" s="11" t="s">
        <v>5</v>
      </c>
      <c r="C12" s="104">
        <f ca="1">'Site Ground Motions'!C21</f>
        <v>0.67719493333333336</v>
      </c>
      <c r="D12" s="10"/>
      <c r="E12" s="11" t="s">
        <v>88</v>
      </c>
      <c r="F12" s="98">
        <f>'Equivalent Lateral Forces'!D21</f>
        <v>1</v>
      </c>
      <c r="G12" s="10"/>
      <c r="H12" s="10"/>
      <c r="I12" s="10"/>
      <c r="J12" s="10"/>
      <c r="K12" s="180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4" ht="15" customHeight="1" x14ac:dyDescent="0.2">
      <c r="A13" s="97"/>
      <c r="B13" s="10"/>
      <c r="C13" s="10"/>
      <c r="D13" s="10"/>
      <c r="E13" s="10"/>
      <c r="F13" s="10"/>
      <c r="G13" s="10"/>
      <c r="H13" s="10"/>
      <c r="I13" s="10"/>
      <c r="J13" s="10"/>
      <c r="K13" s="180"/>
      <c r="L13" s="24"/>
      <c r="O13" s="24"/>
      <c r="P13" s="24"/>
      <c r="Q13" s="24"/>
      <c r="R13" s="24"/>
      <c r="S13" s="24"/>
      <c r="T13" s="24"/>
      <c r="U13" s="24"/>
      <c r="V13" s="24"/>
    </row>
    <row r="14" spans="1:24" ht="15" customHeight="1" x14ac:dyDescent="0.25">
      <c r="A14" s="97"/>
      <c r="B14" s="294" t="s">
        <v>187</v>
      </c>
      <c r="C14" s="233"/>
      <c r="D14" s="294" t="s">
        <v>190</v>
      </c>
      <c r="E14" s="10"/>
      <c r="F14" s="10"/>
      <c r="G14" s="10"/>
      <c r="H14" s="10"/>
      <c r="I14" s="10"/>
      <c r="J14" s="10"/>
      <c r="K14" s="180"/>
      <c r="L14" s="24"/>
      <c r="O14" s="24"/>
      <c r="P14" s="24"/>
      <c r="Q14" s="24"/>
      <c r="R14" s="24"/>
      <c r="S14" s="24"/>
      <c r="T14" s="24"/>
      <c r="U14" s="24"/>
      <c r="V14" s="24"/>
    </row>
    <row r="15" spans="1:24" ht="15" customHeight="1" x14ac:dyDescent="0.2">
      <c r="A15" s="97"/>
      <c r="B15" s="182">
        <f>SUM(B18:B28)</f>
        <v>2022</v>
      </c>
      <c r="C15" s="233"/>
      <c r="D15" s="182">
        <f ca="1">SUM(D18:D28)</f>
        <v>209.61174581939804</v>
      </c>
      <c r="E15" s="10"/>
      <c r="F15" s="10"/>
      <c r="G15" s="183" t="s">
        <v>98</v>
      </c>
      <c r="H15" s="183" t="s">
        <v>160</v>
      </c>
      <c r="I15" s="183" t="s">
        <v>161</v>
      </c>
      <c r="J15" s="10"/>
      <c r="K15" s="180"/>
      <c r="L15" s="37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4" ht="15" customHeight="1" x14ac:dyDescent="0.2">
      <c r="A16" s="97"/>
      <c r="B16" s="10"/>
      <c r="C16" s="10"/>
      <c r="D16" s="10"/>
      <c r="E16" s="10"/>
      <c r="F16" s="10"/>
      <c r="G16" s="183" t="s">
        <v>99</v>
      </c>
      <c r="H16" s="183" t="s">
        <v>102</v>
      </c>
      <c r="I16" s="183" t="s">
        <v>103</v>
      </c>
      <c r="J16" s="183"/>
      <c r="K16" s="180"/>
      <c r="L16" s="37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5" customHeight="1" x14ac:dyDescent="0.3">
      <c r="A17" s="184" t="s">
        <v>27</v>
      </c>
      <c r="B17" s="12" t="s">
        <v>26</v>
      </c>
      <c r="C17" s="229" t="s">
        <v>187</v>
      </c>
      <c r="D17" s="229" t="s">
        <v>214</v>
      </c>
      <c r="E17" s="229" t="s">
        <v>190</v>
      </c>
      <c r="F17" s="229" t="s">
        <v>215</v>
      </c>
      <c r="G17" s="12" t="s">
        <v>47</v>
      </c>
      <c r="H17" s="12" t="s">
        <v>47</v>
      </c>
      <c r="I17" s="12" t="s">
        <v>47</v>
      </c>
      <c r="J17" s="9" t="s">
        <v>112</v>
      </c>
      <c r="K17" s="291" t="s">
        <v>211</v>
      </c>
      <c r="L17" s="360" t="s">
        <v>217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5" customHeight="1" x14ac:dyDescent="0.2">
      <c r="A18" s="185" t="str">
        <f>+'Vertical Distribution'!C24</f>
        <v>Roof</v>
      </c>
      <c r="B18" s="298">
        <f>IF(A18="Ground","—",IF(A18="","",'Vertical Distribution'!F24))</f>
        <v>352</v>
      </c>
      <c r="C18" s="186">
        <f>B18</f>
        <v>352</v>
      </c>
      <c r="D18" s="186">
        <f ca="1">+'Vertical Distribution'!I24</f>
        <v>68.8455684350578</v>
      </c>
      <c r="E18" s="186">
        <f ca="1">D18</f>
        <v>68.8455684350578</v>
      </c>
      <c r="F18" s="231">
        <f ca="1">E18 / C18</f>
        <v>0.19558400123595965</v>
      </c>
      <c r="G18" s="186">
        <f ca="1">F18 * B18</f>
        <v>68.8455684350578</v>
      </c>
      <c r="H18" s="186">
        <f ca="1">0.2 * $C$12 * $F$12 * B18</f>
        <v>47.674523306666671</v>
      </c>
      <c r="I18" s="186">
        <f ca="1">0.4 * $C$12 * $F$12 * B18</f>
        <v>95.349046613333343</v>
      </c>
      <c r="J18" s="187">
        <f ca="1">IF(I18 &lt; MAX(G18, H18), I18, MAX(G18, H18))</f>
        <v>68.8455684350578</v>
      </c>
      <c r="K18" s="299">
        <f ca="1">J18/B18</f>
        <v>0.19558400123595965</v>
      </c>
      <c r="L18" s="37"/>
      <c r="M18" s="359" t="s">
        <v>212</v>
      </c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5" customHeight="1" x14ac:dyDescent="0.2">
      <c r="A19" s="185">
        <f>+'Vertical Distribution'!C25</f>
        <v>4</v>
      </c>
      <c r="B19" s="186">
        <f>IF(A19="Ground","—",IF(A19="","",'Vertical Distribution'!F25))</f>
        <v>554</v>
      </c>
      <c r="C19" s="182">
        <f>IF(A19="Ground","—",IF(A19="","",C18 + B19))</f>
        <v>906</v>
      </c>
      <c r="D19" s="186">
        <f ca="1">IF(A19="Ground","—",IF(A19="","",'Vertical Distribution'!I25))</f>
        <v>75.940458049196963</v>
      </c>
      <c r="E19" s="182">
        <f ca="1">IF(A19="Ground","—",IF(A19="","",E18 + D19))</f>
        <v>144.78602648425476</v>
      </c>
      <c r="F19" s="231">
        <f ca="1">IF(A19="Ground","—",IF(A19="","",E19/C19))</f>
        <v>0.15980797625193682</v>
      </c>
      <c r="G19" s="186">
        <f ca="1">IF(A19="Ground","—",IF(A19="","",F19*B19))</f>
        <v>88.533618843572995</v>
      </c>
      <c r="H19" s="186">
        <f ca="1">IF(A19="Ground","—",IF(A19="","",0.2*$C$12*$F$12*B19))</f>
        <v>75.03319861333334</v>
      </c>
      <c r="I19" s="186">
        <f ca="1">IF(A19="Ground","—",IF(A19="","",0.4*$C$12*$F$12*B19))</f>
        <v>150.06639722666668</v>
      </c>
      <c r="J19" s="187">
        <f ca="1">IF(A19="Ground","—",IF(A19="","",IF(I19&lt;MAX(G19,H19),I19,MAX(G19,H19))))</f>
        <v>88.533618843572995</v>
      </c>
      <c r="K19" s="299">
        <f ca="1">IF(A19="Ground","—",IF(A19="","",J19/B19))</f>
        <v>0.15980797625193682</v>
      </c>
      <c r="L19" s="24"/>
      <c r="M19" s="359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5" customHeight="1" x14ac:dyDescent="0.2">
      <c r="A20" s="185">
        <f>+'Vertical Distribution'!C26</f>
        <v>3</v>
      </c>
      <c r="B20" s="186">
        <f>IF(A20="Ground","—",IF(A20="","",'Vertical Distribution'!F26))</f>
        <v>556</v>
      </c>
      <c r="C20" s="182">
        <f t="shared" ref="C20:C30" si="0">IF(A20="Ground","—",IF(A20="","",C19 + B20))</f>
        <v>1462</v>
      </c>
      <c r="D20" s="186">
        <f ca="1">IF(A20="Ground","—",IF(A20="","",'Vertical Distribution'!I26))</f>
        <v>45.44675070114031</v>
      </c>
      <c r="E20" s="182">
        <f t="shared" ref="E20:E30" ca="1" si="1">IF(A20="Ground","—",IF(A20="","",E19 + D20))</f>
        <v>190.23277718539507</v>
      </c>
      <c r="F20" s="231">
        <f t="shared" ref="F20:F30" ca="1" si="2">IF(A20="Ground","—",IF(A20="","",E20/C20))</f>
        <v>0.13011817864938102</v>
      </c>
      <c r="G20" s="186">
        <f t="shared" ref="G20:G30" ca="1" si="3">IF(A20="Ground","—",IF(A20="","",F20*B20))</f>
        <v>72.345707329055841</v>
      </c>
      <c r="H20" s="186">
        <f t="shared" ref="H20:H30" ca="1" si="4">IF(A20="Ground","—",IF(A20="","",0.2*$C$12*$F$12*B20))</f>
        <v>75.304076586666667</v>
      </c>
      <c r="I20" s="186">
        <f t="shared" ref="I20:I30" ca="1" si="5">IF(A20="Ground","—",IF(A20="","",0.4*$C$12*$F$12*B20))</f>
        <v>150.60815317333333</v>
      </c>
      <c r="J20" s="187">
        <f t="shared" ref="J20:J30" ca="1" si="6">IF(A20="Ground","—",IF(A20="","",IF(I20&lt;MAX(G20,H20),I20,MAX(G20,H20))))</f>
        <v>75.304076586666667</v>
      </c>
      <c r="K20" s="299">
        <f t="shared" ref="K20:K30" ca="1" si="7">IF(A20="Ground","—",IF(A20="","",J20/B20))</f>
        <v>0.13543898666666668</v>
      </c>
      <c r="L20" s="24"/>
      <c r="M20" s="359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5" customHeight="1" x14ac:dyDescent="0.2">
      <c r="A21" s="185">
        <f>+'Vertical Distribution'!C27</f>
        <v>2</v>
      </c>
      <c r="B21" s="186">
        <f>IF(A21="Ground","—",IF(A21="","",'Vertical Distribution'!F27))</f>
        <v>560</v>
      </c>
      <c r="C21" s="182">
        <f t="shared" si="0"/>
        <v>2022</v>
      </c>
      <c r="D21" s="186">
        <f ca="1">IF(A21="Ground","—",IF(A21="","",'Vertical Distribution'!I27))</f>
        <v>19.378968634002973</v>
      </c>
      <c r="E21" s="182">
        <f t="shared" ca="1" si="1"/>
        <v>209.61174581939804</v>
      </c>
      <c r="F21" s="231">
        <f t="shared" ca="1" si="2"/>
        <v>0.10366555183946491</v>
      </c>
      <c r="G21" s="186">
        <f t="shared" ca="1" si="3"/>
        <v>58.052709030100345</v>
      </c>
      <c r="H21" s="186">
        <f t="shared" ca="1" si="4"/>
        <v>75.845832533333336</v>
      </c>
      <c r="I21" s="186">
        <f t="shared" ca="1" si="5"/>
        <v>151.69166506666667</v>
      </c>
      <c r="J21" s="187">
        <f t="shared" ca="1" si="6"/>
        <v>75.845832533333336</v>
      </c>
      <c r="K21" s="299">
        <f t="shared" ca="1" si="7"/>
        <v>0.13543898666666668</v>
      </c>
      <c r="L21" s="24"/>
      <c r="M21" s="359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5" customHeight="1" x14ac:dyDescent="0.2">
      <c r="A22" s="185" t="str">
        <f>+'Vertical Distribution'!C28</f>
        <v>Ground</v>
      </c>
      <c r="B22" s="186" t="str">
        <f>IF(A22="Ground","—",IF(A22="","",'Vertical Distribution'!F28))</f>
        <v>—</v>
      </c>
      <c r="C22" s="182" t="str">
        <f t="shared" si="0"/>
        <v>—</v>
      </c>
      <c r="D22" s="186" t="str">
        <f>IF(A22="Ground","—",IF(A22="","",'Vertical Distribution'!I28))</f>
        <v>—</v>
      </c>
      <c r="E22" s="182" t="str">
        <f t="shared" si="1"/>
        <v>—</v>
      </c>
      <c r="F22" s="231" t="str">
        <f t="shared" si="2"/>
        <v>—</v>
      </c>
      <c r="G22" s="186" t="str">
        <f t="shared" si="3"/>
        <v>—</v>
      </c>
      <c r="H22" s="186" t="str">
        <f t="shared" si="4"/>
        <v>—</v>
      </c>
      <c r="I22" s="186" t="str">
        <f t="shared" si="5"/>
        <v>—</v>
      </c>
      <c r="J22" s="187" t="str">
        <f t="shared" si="6"/>
        <v>—</v>
      </c>
      <c r="K22" s="299" t="str">
        <f t="shared" si="7"/>
        <v>—</v>
      </c>
      <c r="L22" s="24"/>
      <c r="M22" s="359"/>
      <c r="N22" s="24"/>
      <c r="O22" s="24"/>
      <c r="P22" s="24"/>
      <c r="Q22" s="24"/>
      <c r="R22" s="24"/>
      <c r="S22" s="24"/>
      <c r="T22" s="24"/>
      <c r="U22" s="24"/>
      <c r="V22" s="24"/>
    </row>
    <row r="23" spans="1:22" ht="15" customHeight="1" x14ac:dyDescent="0.2">
      <c r="A23" s="185" t="str">
        <f>+'Vertical Distribution'!C29</f>
        <v/>
      </c>
      <c r="B23" s="186" t="str">
        <f>IF(A23="Ground","—",IF(A23="","",'Vertical Distribution'!F29))</f>
        <v/>
      </c>
      <c r="C23" s="182" t="str">
        <f t="shared" si="0"/>
        <v/>
      </c>
      <c r="D23" s="186" t="str">
        <f>IF(A23="Ground","—",IF(A23="","",'Vertical Distribution'!I29))</f>
        <v/>
      </c>
      <c r="E23" s="182" t="str">
        <f t="shared" si="1"/>
        <v/>
      </c>
      <c r="F23" s="231" t="str">
        <f t="shared" si="2"/>
        <v/>
      </c>
      <c r="G23" s="186" t="str">
        <f t="shared" si="3"/>
        <v/>
      </c>
      <c r="H23" s="186" t="str">
        <f t="shared" si="4"/>
        <v/>
      </c>
      <c r="I23" s="186" t="str">
        <f t="shared" si="5"/>
        <v/>
      </c>
      <c r="J23" s="187" t="str">
        <f t="shared" si="6"/>
        <v/>
      </c>
      <c r="K23" s="299" t="str">
        <f t="shared" si="7"/>
        <v/>
      </c>
      <c r="L23" s="24"/>
      <c r="M23" s="359"/>
      <c r="N23" s="24"/>
      <c r="O23" s="24"/>
      <c r="P23" s="24"/>
      <c r="Q23" s="24"/>
      <c r="R23" s="24"/>
      <c r="S23" s="24"/>
      <c r="T23" s="24"/>
      <c r="U23" s="24"/>
      <c r="V23" s="24"/>
    </row>
    <row r="24" spans="1:22" ht="15" customHeight="1" x14ac:dyDescent="0.2">
      <c r="A24" s="185" t="str">
        <f>+'Vertical Distribution'!C30</f>
        <v/>
      </c>
      <c r="B24" s="186" t="str">
        <f>IF(A24="Ground","—",IF(A24="","",'Vertical Distribution'!F30))</f>
        <v/>
      </c>
      <c r="C24" s="182" t="str">
        <f t="shared" si="0"/>
        <v/>
      </c>
      <c r="D24" s="186" t="str">
        <f>IF(A24="Ground","—",IF(A24="","",'Vertical Distribution'!I30))</f>
        <v/>
      </c>
      <c r="E24" s="182" t="str">
        <f t="shared" si="1"/>
        <v/>
      </c>
      <c r="F24" s="231" t="str">
        <f t="shared" si="2"/>
        <v/>
      </c>
      <c r="G24" s="186" t="str">
        <f t="shared" si="3"/>
        <v/>
      </c>
      <c r="H24" s="186" t="str">
        <f t="shared" si="4"/>
        <v/>
      </c>
      <c r="I24" s="186" t="str">
        <f t="shared" si="5"/>
        <v/>
      </c>
      <c r="J24" s="187" t="str">
        <f t="shared" si="6"/>
        <v/>
      </c>
      <c r="K24" s="299" t="str">
        <f t="shared" si="7"/>
        <v/>
      </c>
      <c r="L24" s="24"/>
      <c r="M24" s="359"/>
      <c r="N24" s="24"/>
      <c r="O24" s="24"/>
      <c r="P24" s="24"/>
      <c r="Q24" s="24"/>
      <c r="R24" s="24"/>
      <c r="S24" s="24"/>
      <c r="T24" s="24"/>
      <c r="U24" s="24"/>
      <c r="V24" s="24"/>
    </row>
    <row r="25" spans="1:22" ht="15" customHeight="1" x14ac:dyDescent="0.2">
      <c r="A25" s="185" t="str">
        <f>+'Vertical Distribution'!C31</f>
        <v/>
      </c>
      <c r="B25" s="186" t="str">
        <f>IF(A25="Ground","—",IF(A25="","",'Vertical Distribution'!F31))</f>
        <v/>
      </c>
      <c r="C25" s="182" t="str">
        <f t="shared" si="0"/>
        <v/>
      </c>
      <c r="D25" s="186" t="str">
        <f>IF(A25="Ground","—",IF(A25="","",'Vertical Distribution'!I31))</f>
        <v/>
      </c>
      <c r="E25" s="182" t="str">
        <f t="shared" si="1"/>
        <v/>
      </c>
      <c r="F25" s="231" t="str">
        <f t="shared" si="2"/>
        <v/>
      </c>
      <c r="G25" s="186" t="str">
        <f t="shared" si="3"/>
        <v/>
      </c>
      <c r="H25" s="186" t="str">
        <f t="shared" si="4"/>
        <v/>
      </c>
      <c r="I25" s="186" t="str">
        <f t="shared" si="5"/>
        <v/>
      </c>
      <c r="J25" s="187" t="str">
        <f t="shared" si="6"/>
        <v/>
      </c>
      <c r="K25" s="299" t="str">
        <f t="shared" si="7"/>
        <v/>
      </c>
      <c r="L25" s="24"/>
      <c r="M25" s="359"/>
      <c r="N25" s="24"/>
      <c r="O25" s="24"/>
      <c r="P25" s="24"/>
      <c r="Q25" s="24"/>
      <c r="R25" s="24"/>
      <c r="S25" s="24"/>
      <c r="T25" s="24"/>
      <c r="U25" s="24"/>
      <c r="V25" s="24"/>
    </row>
    <row r="26" spans="1:22" ht="15" customHeight="1" x14ac:dyDescent="0.2">
      <c r="A26" s="185" t="str">
        <f>+'Vertical Distribution'!C32</f>
        <v/>
      </c>
      <c r="B26" s="186" t="str">
        <f>IF(A26="Ground","—",IF(A26="","",'Vertical Distribution'!F32))</f>
        <v/>
      </c>
      <c r="C26" s="182" t="str">
        <f t="shared" si="0"/>
        <v/>
      </c>
      <c r="D26" s="186" t="str">
        <f>IF(A26="Ground","—",IF(A26="","",'Vertical Distribution'!I32))</f>
        <v/>
      </c>
      <c r="E26" s="182" t="str">
        <f t="shared" si="1"/>
        <v/>
      </c>
      <c r="F26" s="231" t="str">
        <f t="shared" si="2"/>
        <v/>
      </c>
      <c r="G26" s="186" t="str">
        <f t="shared" si="3"/>
        <v/>
      </c>
      <c r="H26" s="186" t="str">
        <f t="shared" si="4"/>
        <v/>
      </c>
      <c r="I26" s="186" t="str">
        <f t="shared" si="5"/>
        <v/>
      </c>
      <c r="J26" s="187" t="str">
        <f t="shared" si="6"/>
        <v/>
      </c>
      <c r="K26" s="299" t="str">
        <f t="shared" si="7"/>
        <v/>
      </c>
      <c r="L26" s="24"/>
      <c r="M26" s="359"/>
      <c r="N26" s="24"/>
      <c r="O26" s="24"/>
      <c r="P26" s="24"/>
      <c r="Q26" s="24"/>
      <c r="R26" s="24"/>
      <c r="S26" s="24"/>
      <c r="T26" s="24"/>
      <c r="U26" s="24"/>
      <c r="V26" s="24"/>
    </row>
    <row r="27" spans="1:22" ht="15" customHeight="1" x14ac:dyDescent="0.2">
      <c r="A27" s="185" t="str">
        <f>+'Vertical Distribution'!C33</f>
        <v/>
      </c>
      <c r="B27" s="186" t="str">
        <f>IF(A27="Ground","—",IF(A27="","",'Vertical Distribution'!F33))</f>
        <v/>
      </c>
      <c r="C27" s="182" t="str">
        <f t="shared" si="0"/>
        <v/>
      </c>
      <c r="D27" s="186" t="str">
        <f>IF(A27="Ground","—",IF(A27="","",'Vertical Distribution'!I33))</f>
        <v/>
      </c>
      <c r="E27" s="182" t="str">
        <f t="shared" si="1"/>
        <v/>
      </c>
      <c r="F27" s="231" t="str">
        <f t="shared" si="2"/>
        <v/>
      </c>
      <c r="G27" s="186" t="str">
        <f t="shared" si="3"/>
        <v/>
      </c>
      <c r="H27" s="186" t="str">
        <f t="shared" si="4"/>
        <v/>
      </c>
      <c r="I27" s="186" t="str">
        <f t="shared" si="5"/>
        <v/>
      </c>
      <c r="J27" s="187" t="str">
        <f t="shared" si="6"/>
        <v/>
      </c>
      <c r="K27" s="299" t="str">
        <f t="shared" si="7"/>
        <v/>
      </c>
      <c r="L27" s="24"/>
      <c r="M27" s="359"/>
      <c r="N27" s="24"/>
      <c r="O27" s="24"/>
      <c r="P27" s="24"/>
      <c r="Q27" s="24"/>
      <c r="R27" s="24"/>
      <c r="S27" s="24"/>
      <c r="T27" s="24"/>
      <c r="U27" s="24"/>
      <c r="V27" s="24"/>
    </row>
    <row r="28" spans="1:22" ht="15" customHeight="1" x14ac:dyDescent="0.2">
      <c r="A28" s="185" t="str">
        <f>+'Vertical Distribution'!C34</f>
        <v/>
      </c>
      <c r="B28" s="186" t="str">
        <f>IF(A28="Ground","—",IF(A28="","",'Vertical Distribution'!F34))</f>
        <v/>
      </c>
      <c r="C28" s="182" t="str">
        <f t="shared" si="0"/>
        <v/>
      </c>
      <c r="D28" s="186" t="str">
        <f>IF(A28="Ground","—",IF(A28="","",'Vertical Distribution'!I34))</f>
        <v/>
      </c>
      <c r="E28" s="182" t="str">
        <f t="shared" si="1"/>
        <v/>
      </c>
      <c r="F28" s="231" t="str">
        <f t="shared" si="2"/>
        <v/>
      </c>
      <c r="G28" s="186" t="str">
        <f t="shared" si="3"/>
        <v/>
      </c>
      <c r="H28" s="186" t="str">
        <f t="shared" si="4"/>
        <v/>
      </c>
      <c r="I28" s="186" t="str">
        <f t="shared" si="5"/>
        <v/>
      </c>
      <c r="J28" s="187" t="str">
        <f t="shared" si="6"/>
        <v/>
      </c>
      <c r="K28" s="299" t="str">
        <f t="shared" si="7"/>
        <v/>
      </c>
      <c r="L28" s="24"/>
      <c r="M28" s="359"/>
      <c r="N28" s="24"/>
      <c r="O28" s="24"/>
      <c r="P28" s="24"/>
      <c r="Q28" s="24"/>
      <c r="R28" s="24"/>
      <c r="S28" s="24"/>
      <c r="T28" s="24"/>
      <c r="U28" s="24"/>
      <c r="V28" s="24"/>
    </row>
    <row r="29" spans="1:22" ht="15" customHeight="1" x14ac:dyDescent="0.2">
      <c r="A29" s="185" t="str">
        <f>+'Vertical Distribution'!C35</f>
        <v/>
      </c>
      <c r="B29" s="186" t="str">
        <f>IF(A29="Ground","—",IF(A29="","",'Vertical Distribution'!F35))</f>
        <v/>
      </c>
      <c r="C29" s="182" t="str">
        <f t="shared" si="0"/>
        <v/>
      </c>
      <c r="D29" s="186" t="str">
        <f>IF(A29="Ground","—",IF(A29="","",'Vertical Distribution'!I35))</f>
        <v/>
      </c>
      <c r="E29" s="182" t="str">
        <f t="shared" si="1"/>
        <v/>
      </c>
      <c r="F29" s="231" t="str">
        <f t="shared" si="2"/>
        <v/>
      </c>
      <c r="G29" s="186" t="str">
        <f t="shared" si="3"/>
        <v/>
      </c>
      <c r="H29" s="186" t="str">
        <f t="shared" si="4"/>
        <v/>
      </c>
      <c r="I29" s="186" t="str">
        <f t="shared" si="5"/>
        <v/>
      </c>
      <c r="J29" s="187" t="str">
        <f t="shared" si="6"/>
        <v/>
      </c>
      <c r="K29" s="299" t="str">
        <f t="shared" si="7"/>
        <v/>
      </c>
      <c r="L29" s="24"/>
      <c r="M29" s="359"/>
      <c r="N29" s="24"/>
      <c r="O29" s="24"/>
      <c r="P29" s="24"/>
      <c r="Q29" s="24"/>
      <c r="R29" s="24"/>
      <c r="S29" s="24"/>
      <c r="T29" s="24"/>
      <c r="U29" s="24"/>
      <c r="V29" s="24"/>
    </row>
    <row r="30" spans="1:22" ht="15" customHeight="1" x14ac:dyDescent="0.2">
      <c r="A30" s="293" t="str">
        <f>+'Vertical Distribution'!C36</f>
        <v/>
      </c>
      <c r="B30" s="296" t="str">
        <f>IF(A30="Ground","—",IF(A30="","",'Vertical Distribution'!F36))</f>
        <v/>
      </c>
      <c r="C30" s="253" t="str">
        <f t="shared" si="0"/>
        <v/>
      </c>
      <c r="D30" s="296" t="str">
        <f>IF(A30="Ground","—",IF(A30="","",'Vertical Distribution'!I36))</f>
        <v/>
      </c>
      <c r="E30" s="253" t="str">
        <f t="shared" si="1"/>
        <v/>
      </c>
      <c r="F30" s="268" t="str">
        <f t="shared" si="2"/>
        <v/>
      </c>
      <c r="G30" s="296" t="str">
        <f t="shared" si="3"/>
        <v/>
      </c>
      <c r="H30" s="296" t="str">
        <f t="shared" si="4"/>
        <v/>
      </c>
      <c r="I30" s="296" t="str">
        <f t="shared" si="5"/>
        <v/>
      </c>
      <c r="J30" s="297" t="str">
        <f t="shared" si="6"/>
        <v/>
      </c>
      <c r="K30" s="300" t="str">
        <f t="shared" si="7"/>
        <v/>
      </c>
      <c r="L30" s="24"/>
      <c r="M30" s="359"/>
      <c r="N30" s="24"/>
      <c r="O30" s="24"/>
      <c r="P30" s="24"/>
      <c r="Q30" s="24"/>
      <c r="R30" s="24"/>
      <c r="S30" s="24"/>
      <c r="T30" s="24"/>
      <c r="U30" s="24"/>
      <c r="V30" s="24"/>
    </row>
    <row r="31" spans="1:22" ht="15" customHeight="1" x14ac:dyDescent="0.2">
      <c r="A31" s="185"/>
      <c r="B31" s="10"/>
      <c r="C31" s="10"/>
      <c r="D31" s="10"/>
      <c r="E31" s="10"/>
      <c r="F31" s="10"/>
      <c r="G31" s="10"/>
      <c r="H31" s="10"/>
      <c r="I31" s="10"/>
      <c r="J31" s="10"/>
      <c r="K31" s="180"/>
      <c r="L31" s="24"/>
      <c r="M31" s="295"/>
      <c r="N31" s="24"/>
      <c r="O31" s="24"/>
      <c r="P31" s="24"/>
      <c r="Q31" s="24"/>
      <c r="R31" s="24"/>
      <c r="S31" s="24"/>
      <c r="T31" s="24"/>
      <c r="U31" s="24"/>
      <c r="V31" s="24"/>
    </row>
    <row r="32" spans="1:22" ht="15" customHeight="1" x14ac:dyDescent="0.3">
      <c r="A32" s="97"/>
      <c r="B32" s="10" t="s">
        <v>100</v>
      </c>
      <c r="C32" s="10"/>
      <c r="D32" s="10"/>
      <c r="E32" s="10"/>
      <c r="F32" s="10"/>
      <c r="G32" s="10"/>
      <c r="H32" s="10"/>
      <c r="I32" s="10"/>
      <c r="J32" s="10"/>
      <c r="K32" s="180"/>
      <c r="L32" s="24"/>
      <c r="M32" s="295"/>
      <c r="N32" s="24"/>
      <c r="O32" s="24"/>
      <c r="P32" s="24"/>
      <c r="Q32" s="24"/>
      <c r="R32" s="24"/>
      <c r="S32" s="24"/>
      <c r="T32" s="24"/>
      <c r="U32" s="24"/>
      <c r="V32" s="24"/>
    </row>
    <row r="33" spans="1:22" ht="15" customHeight="1" x14ac:dyDescent="0.2">
      <c r="A33" s="97"/>
      <c r="B33" s="10"/>
      <c r="C33" s="10"/>
      <c r="D33" s="10"/>
      <c r="E33" s="10"/>
      <c r="F33" s="10"/>
      <c r="G33" s="10"/>
      <c r="H33" s="10"/>
      <c r="I33" s="10"/>
      <c r="J33" s="10"/>
      <c r="K33" s="180"/>
      <c r="L33" s="24"/>
      <c r="M33" s="295"/>
      <c r="N33" s="24"/>
      <c r="O33" s="24"/>
      <c r="P33" s="24"/>
      <c r="Q33" s="24"/>
      <c r="R33" s="24"/>
      <c r="S33" s="24"/>
      <c r="T33" s="24"/>
      <c r="U33" s="24"/>
      <c r="V33" s="24"/>
    </row>
    <row r="34" spans="1:22" ht="15" customHeight="1" x14ac:dyDescent="0.3">
      <c r="A34" s="97"/>
      <c r="B34" s="10" t="s">
        <v>101</v>
      </c>
      <c r="C34" s="10"/>
      <c r="D34" s="10"/>
      <c r="E34" s="10"/>
      <c r="F34" s="10"/>
      <c r="G34" s="10"/>
      <c r="H34" s="10"/>
      <c r="I34" s="10"/>
      <c r="J34" s="10"/>
      <c r="K34" s="180"/>
      <c r="L34" s="24"/>
      <c r="M34" s="295"/>
      <c r="N34" s="24"/>
      <c r="O34" s="24"/>
      <c r="P34" s="24"/>
      <c r="Q34" s="24"/>
      <c r="R34" s="24"/>
      <c r="S34" s="24"/>
      <c r="T34" s="24"/>
      <c r="U34" s="24"/>
      <c r="V34" s="24"/>
    </row>
    <row r="35" spans="1:22" ht="15" customHeight="1" x14ac:dyDescent="0.2">
      <c r="A35" s="97"/>
      <c r="B35" s="10"/>
      <c r="C35" s="10"/>
      <c r="D35" s="10"/>
      <c r="E35" s="10"/>
      <c r="F35" s="10"/>
      <c r="G35" s="10"/>
      <c r="H35" s="10"/>
      <c r="I35" s="10"/>
      <c r="J35" s="10"/>
      <c r="K35" s="180"/>
      <c r="L35" s="24"/>
      <c r="M35" s="295"/>
      <c r="N35" s="24"/>
      <c r="O35" s="24"/>
      <c r="P35" s="24"/>
      <c r="Q35" s="24"/>
      <c r="R35" s="24"/>
      <c r="S35" s="24"/>
      <c r="T35" s="24"/>
      <c r="U35" s="24"/>
      <c r="V35" s="24"/>
    </row>
    <row r="36" spans="1:22" ht="15" customHeight="1" x14ac:dyDescent="0.2">
      <c r="A36" s="97"/>
      <c r="B36" s="10" t="s">
        <v>104</v>
      </c>
      <c r="C36" s="10"/>
      <c r="D36" s="10"/>
      <c r="E36" s="10"/>
      <c r="F36" s="10"/>
      <c r="G36" s="10"/>
      <c r="H36" s="10"/>
      <c r="I36" s="10"/>
      <c r="J36" s="10"/>
      <c r="K36" s="180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ht="15" customHeight="1" x14ac:dyDescent="0.2">
      <c r="A37" s="97"/>
      <c r="B37" s="10" t="s">
        <v>105</v>
      </c>
      <c r="C37" s="10"/>
      <c r="D37" s="10"/>
      <c r="E37" s="10"/>
      <c r="F37" s="10"/>
      <c r="G37" s="10"/>
      <c r="H37" s="10"/>
      <c r="I37" s="10"/>
      <c r="J37" s="10"/>
      <c r="K37" s="180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</row>
    <row r="38" spans="1:22" ht="15" customHeight="1" x14ac:dyDescent="0.2">
      <c r="A38" s="188"/>
      <c r="B38" s="4"/>
      <c r="C38" s="189"/>
      <c r="D38" s="189"/>
      <c r="E38" s="189"/>
      <c r="F38" s="189"/>
      <c r="G38" s="189"/>
      <c r="H38" s="189"/>
      <c r="I38" s="189"/>
      <c r="J38" s="189"/>
      <c r="K38" s="190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</row>
    <row r="39" spans="1:22" s="112" customFormat="1" ht="15" customHeight="1" x14ac:dyDescent="0.2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pans="1:22" s="112" customFormat="1" ht="15" customHeight="1" x14ac:dyDescent="0.2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2" s="112" customFormat="1" ht="15" customHeight="1" x14ac:dyDescent="0.2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2" s="112" customFormat="1" ht="15" customHeight="1" x14ac:dyDescent="0.2"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2" s="112" customFormat="1" ht="15" customHeight="1" x14ac:dyDescent="0.2"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2" s="112" customFormat="1" ht="15" customHeight="1" x14ac:dyDescent="0.2"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</row>
    <row r="45" spans="1:22" s="112" customFormat="1" ht="15" customHeight="1" x14ac:dyDescent="0.2"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</row>
    <row r="46" spans="1:22" s="112" customFormat="1" ht="15" customHeight="1" x14ac:dyDescent="0.2"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1:22" s="112" customFormat="1" ht="15" customHeight="1" x14ac:dyDescent="0.2"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1:22" s="112" customFormat="1" ht="15" customHeight="1" x14ac:dyDescent="0.2"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2:22" s="112" customFormat="1" ht="15" customHeight="1" x14ac:dyDescent="0.2"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2:22" s="112" customFormat="1" ht="15" customHeight="1" x14ac:dyDescent="0.2"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2:22" s="112" customFormat="1" x14ac:dyDescent="0.2"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2:22" s="112" customFormat="1" x14ac:dyDescent="0.2"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2:22" s="112" customFormat="1" x14ac:dyDescent="0.2"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2:22" s="112" customFormat="1" x14ac:dyDescent="0.2"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2:22" s="112" customFormat="1" x14ac:dyDescent="0.2"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 spans="12:22" s="112" customFormat="1" x14ac:dyDescent="0.2"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 spans="12:22" s="112" customFormat="1" x14ac:dyDescent="0.2"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12:22" s="112" customFormat="1" x14ac:dyDescent="0.2"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2:22" s="112" customFormat="1" x14ac:dyDescent="0.2"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2:22" s="112" customFormat="1" x14ac:dyDescent="0.2"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12:22" s="112" customFormat="1" x14ac:dyDescent="0.2"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12:22" s="112" customFormat="1" x14ac:dyDescent="0.2"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2:22" s="112" customFormat="1" x14ac:dyDescent="0.2"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2:22" s="112" customFormat="1" x14ac:dyDescent="0.2"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2:22" s="112" customFormat="1" x14ac:dyDescent="0.2"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 spans="12:22" s="112" customFormat="1" x14ac:dyDescent="0.2"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2:22" s="112" customFormat="1" x14ac:dyDescent="0.2"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 spans="12:22" s="112" customFormat="1" x14ac:dyDescent="0.2"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2:22" s="112" customFormat="1" x14ac:dyDescent="0.2"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spans="12:22" s="112" customFormat="1" x14ac:dyDescent="0.2"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2:22" s="112" customFormat="1" x14ac:dyDescent="0.2"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2:22" s="112" customFormat="1" x14ac:dyDescent="0.2"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spans="12:22" s="112" customFormat="1" x14ac:dyDescent="0.2"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2:22" s="112" customFormat="1" x14ac:dyDescent="0.2"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2:22" s="112" customFormat="1" x14ac:dyDescent="0.2"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2:22" s="112" customFormat="1" x14ac:dyDescent="0.2"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spans="12:22" s="112" customFormat="1" x14ac:dyDescent="0.2"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 spans="12:22" s="112" customFormat="1" x14ac:dyDescent="0.2"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2:22" s="112" customFormat="1" x14ac:dyDescent="0.2"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spans="12:22" s="112" customFormat="1" x14ac:dyDescent="0.2"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spans="12:22" s="112" customFormat="1" x14ac:dyDescent="0.2"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spans="12:22" s="112" customFormat="1" x14ac:dyDescent="0.2"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spans="12:22" s="112" customFormat="1" x14ac:dyDescent="0.2"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spans="12:22" s="112" customFormat="1" x14ac:dyDescent="0.2"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spans="12:22" s="112" customFormat="1" x14ac:dyDescent="0.2"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spans="12:22" s="112" customFormat="1" x14ac:dyDescent="0.2"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spans="12:22" s="112" customFormat="1" x14ac:dyDescent="0.2"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spans="12:22" s="112" customFormat="1" x14ac:dyDescent="0.2"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spans="12:22" s="112" customFormat="1" x14ac:dyDescent="0.2"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spans="12:22" s="112" customFormat="1" x14ac:dyDescent="0.2"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spans="12:22" s="112" customFormat="1" x14ac:dyDescent="0.2"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spans="12:22" s="112" customFormat="1" x14ac:dyDescent="0.2"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spans="12:22" s="112" customFormat="1" x14ac:dyDescent="0.2"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spans="12:22" s="112" customFormat="1" x14ac:dyDescent="0.2"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spans="12:22" s="112" customFormat="1" x14ac:dyDescent="0.2"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spans="12:22" s="112" customFormat="1" x14ac:dyDescent="0.2"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spans="12:22" s="112" customFormat="1" x14ac:dyDescent="0.2"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spans="12:22" s="112" customFormat="1" x14ac:dyDescent="0.2"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spans="12:22" s="112" customFormat="1" x14ac:dyDescent="0.2"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spans="12:22" s="112" customFormat="1" x14ac:dyDescent="0.2"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spans="12:22" s="112" customFormat="1" x14ac:dyDescent="0.2"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spans="12:22" s="112" customFormat="1" x14ac:dyDescent="0.2"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spans="12:22" s="112" customFormat="1" x14ac:dyDescent="0.2"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spans="12:22" s="112" customFormat="1" x14ac:dyDescent="0.2"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spans="12:22" s="112" customFormat="1" x14ac:dyDescent="0.2"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spans="12:22" s="112" customFormat="1" x14ac:dyDescent="0.2"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spans="12:22" s="112" customFormat="1" x14ac:dyDescent="0.2"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spans="12:22" s="112" customFormat="1" x14ac:dyDescent="0.2"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spans="12:22" s="112" customFormat="1" x14ac:dyDescent="0.2"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spans="12:22" s="112" customFormat="1" x14ac:dyDescent="0.2"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spans="12:22" s="112" customFormat="1" x14ac:dyDescent="0.2"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</sheetData>
  <mergeCells count="6">
    <mergeCell ref="M18:M30"/>
    <mergeCell ref="D4:H4"/>
    <mergeCell ref="D3:H3"/>
    <mergeCell ref="D2:H2"/>
    <mergeCell ref="D1:H1"/>
    <mergeCell ref="M6:N6"/>
  </mergeCells>
  <phoneticPr fontId="0" type="noConversion"/>
  <pageMargins left="0.7" right="0.7" top="0.75" bottom="0.75" header="0.3" footer="0.3"/>
  <pageSetup scale="72" orientation="portrait" r:id="rId1"/>
  <headerFooter alignWithMargins="0"/>
  <ignoredErrors>
    <ignoredError sqref="D1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46</vt:i4>
      </vt:variant>
    </vt:vector>
  </HeadingPairs>
  <TitlesOfParts>
    <vt:vector size="51" baseType="lpstr">
      <vt:lpstr>Site Ground Motions</vt:lpstr>
      <vt:lpstr>Site Coefficients</vt:lpstr>
      <vt:lpstr>Equivalent Lateral Forces</vt:lpstr>
      <vt:lpstr>Vertical Distribution</vt:lpstr>
      <vt:lpstr>Diaphragm Forces</vt:lpstr>
      <vt:lpstr>FaAx</vt:lpstr>
      <vt:lpstr>FaAy</vt:lpstr>
      <vt:lpstr>FaBx</vt:lpstr>
      <vt:lpstr>FaBy</vt:lpstr>
      <vt:lpstr>FaCx</vt:lpstr>
      <vt:lpstr>FaCy</vt:lpstr>
      <vt:lpstr>FaDx</vt:lpstr>
      <vt:lpstr>FaDy</vt:lpstr>
      <vt:lpstr>FaEx</vt:lpstr>
      <vt:lpstr>FaEy</vt:lpstr>
      <vt:lpstr>FvAx</vt:lpstr>
      <vt:lpstr>FvAy</vt:lpstr>
      <vt:lpstr>FvBx</vt:lpstr>
      <vt:lpstr>FvBy</vt:lpstr>
      <vt:lpstr>FvCx</vt:lpstr>
      <vt:lpstr>FvCy</vt:lpstr>
      <vt:lpstr>FvDx</vt:lpstr>
      <vt:lpstr>FvDy</vt:lpstr>
      <vt:lpstr>FvEx</vt:lpstr>
      <vt:lpstr>FvEy</vt:lpstr>
      <vt:lpstr>MatchFaA</vt:lpstr>
      <vt:lpstr>MatchFaB</vt:lpstr>
      <vt:lpstr>MatchFaC</vt:lpstr>
      <vt:lpstr>MatchFaD</vt:lpstr>
      <vt:lpstr>MatchFaE</vt:lpstr>
      <vt:lpstr>MatchFvA</vt:lpstr>
      <vt:lpstr>MatchFvB</vt:lpstr>
      <vt:lpstr>MatchFvC</vt:lpstr>
      <vt:lpstr>MatchFvD</vt:lpstr>
      <vt:lpstr>MatchFvE</vt:lpstr>
      <vt:lpstr>'Diaphragm Forces'!Print_Area</vt:lpstr>
      <vt:lpstr>'Equivalent Lateral Forces'!Print_Area</vt:lpstr>
      <vt:lpstr>'Site Coefficients'!Print_Area</vt:lpstr>
      <vt:lpstr>'Site Ground Motions'!Print_Area</vt:lpstr>
      <vt:lpstr>'Vertical Distribution'!Print_Area</vt:lpstr>
      <vt:lpstr>SiteClass</vt:lpstr>
      <vt:lpstr>TargetFaA</vt:lpstr>
      <vt:lpstr>TargetFaB</vt:lpstr>
      <vt:lpstr>TargetFaC</vt:lpstr>
      <vt:lpstr>TargetFaD</vt:lpstr>
      <vt:lpstr>TargetFaE</vt:lpstr>
      <vt:lpstr>TargetFvA</vt:lpstr>
      <vt:lpstr>TargetFvB</vt:lpstr>
      <vt:lpstr>TargetFvC</vt:lpstr>
      <vt:lpstr>TargetFvD</vt:lpstr>
      <vt:lpstr>TargetFvE</vt:lpstr>
    </vt:vector>
  </TitlesOfParts>
  <Company>KPFF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Tobin</dc:creator>
  <cp:lastModifiedBy>Andy Sazima</cp:lastModifiedBy>
  <cp:lastPrinted>2023-10-02T18:47:10Z</cp:lastPrinted>
  <dcterms:created xsi:type="dcterms:W3CDTF">2004-07-19T20:51:19Z</dcterms:created>
  <dcterms:modified xsi:type="dcterms:W3CDTF">2026-05-06T00:58:11Z</dcterms:modified>
</cp:coreProperties>
</file>