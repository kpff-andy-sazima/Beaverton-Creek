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kpffla-my.sharepoint.com/personal/andy_sazima_kpff_com/Documents/Projects/Beaverton Creek/"/>
    </mc:Choice>
  </mc:AlternateContent>
  <xr:revisionPtr revIDLastSave="125" documentId="8_{BC827696-9A41-49F6-A0AC-E23791882C64}" xr6:coauthVersionLast="47" xr6:coauthVersionMax="47" xr10:uidLastSave="{2CDC816A-88D0-459A-9289-E7BB4E10D3C8}"/>
  <bookViews>
    <workbookView xWindow="28680" yWindow="-120" windowWidth="29040" windowHeight="15720" tabRatio="733" activeTab="3" xr2:uid="{00000000-000D-0000-FFFF-FFFF00000000}"/>
  </bookViews>
  <sheets>
    <sheet name="Site Ground Motions" sheetId="1" r:id="rId1"/>
    <sheet name="Site Coefficients" sheetId="13386" r:id="rId2"/>
    <sheet name="Equivalent Lateral Forces" sheetId="2" r:id="rId3"/>
    <sheet name="Vertical Distribution" sheetId="13387" r:id="rId4"/>
    <sheet name="Diaphragm Forces" sheetId="109" r:id="rId5"/>
  </sheets>
  <externalReferences>
    <externalReference r:id="rId6"/>
  </externalReferences>
  <definedNames>
    <definedName name="FaAx" localSheetId="3">'[1]Site Coefficients (BSE-2N)'!$K$7:$K$13</definedName>
    <definedName name="FaAx">'Site Coefficients'!$L$9:$L$15</definedName>
    <definedName name="FaAy">'Site Coefficients'!$M$9:$M$15</definedName>
    <definedName name="FaBx" localSheetId="3">'[1]Site Coefficients (BSE-2N)'!$M$7:$M$13</definedName>
    <definedName name="FaBx">'Site Coefficients'!$N$9:$N$15</definedName>
    <definedName name="FaBy">'Site Coefficients'!$O$9:$O$15</definedName>
    <definedName name="FaCx" localSheetId="3">'[1]Site Coefficients (BSE-2N)'!$O$7:$O$13</definedName>
    <definedName name="FaCx">'Site Coefficients'!$P$9:$P$15</definedName>
    <definedName name="FaCy" localSheetId="3">'[1]Site Coefficients (BSE-2N)'!$P$7:$P$13</definedName>
    <definedName name="FaCy">'Site Coefficients'!$Q$9:$Q$15</definedName>
    <definedName name="FaDx" localSheetId="3">'[1]Site Coefficients (BSE-2N)'!$Q$7:$Q$13</definedName>
    <definedName name="FaDx">'Site Coefficients'!$R$9:$R$15</definedName>
    <definedName name="FaDy" localSheetId="3">'[1]Site Coefficients (BSE-2N)'!$R$7:$R$13</definedName>
    <definedName name="FaDy">'Site Coefficients'!$S$9:$S$15</definedName>
    <definedName name="FaEx" localSheetId="3">'[1]Site Coefficients (BSE-2N)'!$S$7:$S$13</definedName>
    <definedName name="FaEx">'Site Coefficients'!$T$9:$T$15</definedName>
    <definedName name="FaEy" localSheetId="3">'[1]Site Coefficients (BSE-2N)'!$T$7:$T$13</definedName>
    <definedName name="FaEy">'Site Coefficients'!$U$9:$U$15</definedName>
    <definedName name="FvAx" localSheetId="3">'[1]Site Coefficients (BSE-2N)'!$K$22:$K$28</definedName>
    <definedName name="FvAx">'Site Coefficients'!$L$22:$L$28</definedName>
    <definedName name="FvAy">'Site Coefficients'!$M$22:$M$28</definedName>
    <definedName name="FvBx" localSheetId="3">'[1]Site Coefficients (BSE-2N)'!$M$22:$M$28</definedName>
    <definedName name="FvBx">'Site Coefficients'!$N$22:$N$28</definedName>
    <definedName name="FvBy">'Site Coefficients'!$O$22:$O$28</definedName>
    <definedName name="FvCx" localSheetId="3">'[1]Site Coefficients (BSE-2N)'!$O$22:$O$28</definedName>
    <definedName name="FvCx">'Site Coefficients'!$P$22:$P$28</definedName>
    <definedName name="FvCy" localSheetId="3">'[1]Site Coefficients (BSE-2N)'!$P$22:$P$28</definedName>
    <definedName name="FvCy">'Site Coefficients'!$Q$22:$Q$28</definedName>
    <definedName name="FvDx" localSheetId="3">'[1]Site Coefficients (BSE-2N)'!$Q$22:$Q$28</definedName>
    <definedName name="FvDx">'Site Coefficients'!$R$22:$R$28</definedName>
    <definedName name="FvDy" localSheetId="3">'[1]Site Coefficients (BSE-2N)'!$R$22:$R$28</definedName>
    <definedName name="FvDy">'Site Coefficients'!$S$22:$S$28</definedName>
    <definedName name="FvEx" localSheetId="3">'[1]Site Coefficients (BSE-2N)'!$S$22:$S$28</definedName>
    <definedName name="FvEx">'Site Coefficients'!$T$22:$T$28</definedName>
    <definedName name="FvEy" localSheetId="3">'[1]Site Coefficients (BSE-2N)'!$T$22:$T$28</definedName>
    <definedName name="FvEy">'Site Coefficients'!$U$22:$U$28</definedName>
    <definedName name="MatchFaA">'Site Coefficients'!$M$17</definedName>
    <definedName name="MatchFaB">'Site Coefficients'!$O$17</definedName>
    <definedName name="MatchFaC" localSheetId="3">'[1]Site Coefficients (BSE-2N)'!$P$15</definedName>
    <definedName name="MatchFaC">'Site Coefficients'!$Q$17</definedName>
    <definedName name="MatchFaD" localSheetId="3">'[1]Site Coefficients (BSE-2N)'!$R$15</definedName>
    <definedName name="MatchFaD">'Site Coefficients'!$S$17</definedName>
    <definedName name="MatchFaE" localSheetId="3">'[1]Site Coefficients (BSE-2N)'!$T$15</definedName>
    <definedName name="MatchFaE">'Site Coefficients'!$U$17</definedName>
    <definedName name="MatchFvA">'Site Coefficients'!$M$30</definedName>
    <definedName name="MatchFvB">'Site Coefficients'!$O$30</definedName>
    <definedName name="MatchFvC" localSheetId="3">'[1]Site Coefficients (BSE-2N)'!$P$30</definedName>
    <definedName name="MatchFvC">'Site Coefficients'!$Q$30</definedName>
    <definedName name="MatchFvD" localSheetId="3">'[1]Site Coefficients (BSE-2N)'!$R$30</definedName>
    <definedName name="MatchFvD">'Site Coefficients'!$S$30</definedName>
    <definedName name="MatchFvE" localSheetId="3">'[1]Site Coefficients (BSE-2N)'!$T$30</definedName>
    <definedName name="MatchFvE">'Site Coefficients'!$U$30</definedName>
    <definedName name="_xlnm.Print_Area" localSheetId="4">'Diaphragm Forces'!$A$1:$K$38</definedName>
    <definedName name="_xlnm.Print_Area" localSheetId="2">'Equivalent Lateral Forces'!$A$1:$M$58</definedName>
    <definedName name="_xlnm.Print_Area" localSheetId="1">'Site Coefficients'!$A$1:$J$42</definedName>
    <definedName name="_xlnm.Print_Area" localSheetId="0">'Site Ground Motions'!$A$1:$J$57</definedName>
    <definedName name="_xlnm.Print_Area" localSheetId="3">'Vertical Distribution'!$A$1:$M$59</definedName>
    <definedName name="SiteClass">'Site Coefficients'!$L$34:$L$38</definedName>
    <definedName name="TargetFaA" localSheetId="3">'[1]Site Coefficients (BSE-2N)'!$L$14</definedName>
    <definedName name="TargetFaA">'Site Coefficients'!$M$16</definedName>
    <definedName name="TargetFaB" localSheetId="3">'[1]Site Coefficients (BSE-2N)'!$N$14</definedName>
    <definedName name="TargetFaB">'Site Coefficients'!$O$16</definedName>
    <definedName name="TargetFaC" localSheetId="3">'[1]Site Coefficients (BSE-2N)'!$P$14</definedName>
    <definedName name="TargetFaC">'Site Coefficients'!$Q$16</definedName>
    <definedName name="TargetFaD" localSheetId="3">'[1]Site Coefficients (BSE-2N)'!$R$14</definedName>
    <definedName name="TargetFaD">'Site Coefficients'!$S$16</definedName>
    <definedName name="TargetFaE" localSheetId="3">'[1]Site Coefficients (BSE-2N)'!$T$14</definedName>
    <definedName name="TargetFaE">'Site Coefficients'!$U$16</definedName>
    <definedName name="TargetFvA" localSheetId="3">'[1]Site Coefficients (BSE-2N)'!$L$29</definedName>
    <definedName name="TargetFvA">'Site Coefficients'!$M$29</definedName>
    <definedName name="TargetFvB" localSheetId="3">'[1]Site Coefficients (BSE-2N)'!$N$29</definedName>
    <definedName name="TargetFvB">'Site Coefficients'!$O$29</definedName>
    <definedName name="TargetFvC" localSheetId="3">'[1]Site Coefficients (BSE-2N)'!$P$29</definedName>
    <definedName name="TargetFvC">'Site Coefficients'!$Q$29</definedName>
    <definedName name="TargetFvD" localSheetId="3">'[1]Site Coefficients (BSE-2N)'!$R$29</definedName>
    <definedName name="TargetFvD">'Site Coefficients'!$S$29</definedName>
    <definedName name="TargetFvE" localSheetId="3">'[1]Site Coefficients (BSE-2N)'!$T$29</definedName>
    <definedName name="TargetFvE">'Site Coefficients'!$U$29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33" i="1" l="1"/>
  <c r="C16" i="1"/>
  <c r="B18" i="109"/>
  <c r="X2" i="109"/>
  <c r="X1" i="109"/>
  <c r="X2" i="13387"/>
  <c r="X1" i="13387"/>
  <c r="G48" i="13387"/>
  <c r="G49" i="13387"/>
  <c r="G50" i="13387"/>
  <c r="G51" i="13387"/>
  <c r="G52" i="13387"/>
  <c r="G53" i="13387"/>
  <c r="G54" i="13387"/>
  <c r="G55" i="13387"/>
  <c r="F44" i="13387"/>
  <c r="F45" i="13387"/>
  <c r="G45" i="13387" s="1"/>
  <c r="F46" i="13387"/>
  <c r="G46" i="13387" s="1"/>
  <c r="F47" i="13387"/>
  <c r="G47" i="13387" s="1"/>
  <c r="F48" i="13387"/>
  <c r="F49" i="13387"/>
  <c r="F50" i="13387"/>
  <c r="F51" i="13387"/>
  <c r="F52" i="13387"/>
  <c r="F53" i="13387"/>
  <c r="F54" i="13387"/>
  <c r="F55" i="13387"/>
  <c r="F43" i="13387"/>
  <c r="E44" i="13387"/>
  <c r="E45" i="13387"/>
  <c r="E46" i="13387"/>
  <c r="E47" i="13387"/>
  <c r="E48" i="13387"/>
  <c r="E49" i="13387"/>
  <c r="E50" i="13387"/>
  <c r="E51" i="13387"/>
  <c r="E52" i="13387"/>
  <c r="E53" i="13387"/>
  <c r="E54" i="13387"/>
  <c r="E55" i="13387"/>
  <c r="E43" i="13387"/>
  <c r="C51" i="13387"/>
  <c r="C52" i="13387"/>
  <c r="C53" i="13387"/>
  <c r="C54" i="13387"/>
  <c r="C55" i="13387"/>
  <c r="E24" i="13387"/>
  <c r="F18" i="13387"/>
  <c r="D18" i="13387"/>
  <c r="C28" i="13387"/>
  <c r="A22" i="109" s="1"/>
  <c r="B22" i="109" s="1"/>
  <c r="C29" i="13387"/>
  <c r="A23" i="109" s="1"/>
  <c r="B23" i="109" s="1"/>
  <c r="C30" i="13387"/>
  <c r="A24" i="109" s="1"/>
  <c r="B24" i="109" s="1"/>
  <c r="C31" i="13387"/>
  <c r="A25" i="109" s="1"/>
  <c r="B25" i="109" s="1"/>
  <c r="C32" i="13387"/>
  <c r="A26" i="109" s="1"/>
  <c r="B26" i="109" s="1"/>
  <c r="C33" i="13387"/>
  <c r="A27" i="109" s="1"/>
  <c r="B27" i="109" s="1"/>
  <c r="C34" i="13387"/>
  <c r="A28" i="109" s="1"/>
  <c r="B28" i="109" s="1"/>
  <c r="C35" i="13387"/>
  <c r="A29" i="109" s="1"/>
  <c r="B29" i="109" s="1"/>
  <c r="C36" i="13387"/>
  <c r="G36" i="13387" s="1"/>
  <c r="C44" i="13387"/>
  <c r="C50" i="13387"/>
  <c r="C49" i="13387"/>
  <c r="C48" i="13387"/>
  <c r="C47" i="13387"/>
  <c r="C46" i="13387"/>
  <c r="C45" i="13387"/>
  <c r="C27" i="13387"/>
  <c r="C26" i="13387"/>
  <c r="C25" i="13387"/>
  <c r="X2" i="2"/>
  <c r="X1" i="2"/>
  <c r="X2" i="13386"/>
  <c r="X1" i="13386"/>
  <c r="G43" i="13387" l="1"/>
  <c r="A30" i="109"/>
  <c r="G44" i="13387"/>
  <c r="I36" i="13387"/>
  <c r="K55" i="13387" s="1"/>
  <c r="M55" i="13387" s="1"/>
  <c r="H36" i="13387"/>
  <c r="K30" i="109" l="1"/>
  <c r="J30" i="109"/>
  <c r="I30" i="109"/>
  <c r="H30" i="109"/>
  <c r="G30" i="109"/>
  <c r="F30" i="109"/>
  <c r="E30" i="109"/>
  <c r="B30" i="109"/>
  <c r="D30" i="109"/>
  <c r="C30" i="109"/>
  <c r="L55" i="13387"/>
  <c r="C28" i="1" l="1"/>
  <c r="D1" i="109" l="1"/>
  <c r="K4" i="109" l="1"/>
  <c r="J4" i="109"/>
  <c r="J3" i="109"/>
  <c r="D3" i="109"/>
  <c r="J2" i="109"/>
  <c r="D2" i="109"/>
  <c r="J1" i="109"/>
  <c r="A18" i="109"/>
  <c r="E3" i="13386" l="1"/>
  <c r="E2" i="13386"/>
  <c r="E1" i="13386"/>
  <c r="E3" i="2"/>
  <c r="E2" i="2"/>
  <c r="E1" i="2"/>
  <c r="J4" i="13386"/>
  <c r="I4" i="13386"/>
  <c r="I3" i="13386"/>
  <c r="I2" i="13386"/>
  <c r="I1" i="13386"/>
  <c r="M4" i="2"/>
  <c r="L4" i="2"/>
  <c r="L3" i="2"/>
  <c r="L2" i="2"/>
  <c r="L1" i="2"/>
  <c r="M4" i="13387"/>
  <c r="L4" i="13387"/>
  <c r="L3" i="13387"/>
  <c r="L2" i="13387"/>
  <c r="L1" i="13387"/>
  <c r="F1" i="13387"/>
  <c r="F3" i="13387"/>
  <c r="F2" i="13387"/>
  <c r="A20" i="109"/>
  <c r="A19" i="109"/>
  <c r="B19" i="109" l="1"/>
  <c r="B20" i="109"/>
  <c r="A21" i="109"/>
  <c r="B21" i="109" s="1"/>
  <c r="E25" i="13387"/>
  <c r="E26" i="13387" s="1"/>
  <c r="E27" i="13387" l="1"/>
  <c r="E28" i="13387" l="1"/>
  <c r="E29" i="13387" s="1"/>
  <c r="E8" i="13387"/>
  <c r="H8" i="13387" s="1"/>
  <c r="G28" i="13387" l="1"/>
  <c r="E30" i="13387"/>
  <c r="G29" i="13387"/>
  <c r="G27" i="13387"/>
  <c r="I13" i="2"/>
  <c r="M31" i="13386"/>
  <c r="C34" i="13386"/>
  <c r="C36" i="13386"/>
  <c r="M18" i="13386"/>
  <c r="G30" i="13387" l="1"/>
  <c r="E31" i="13387"/>
  <c r="Q22" i="1"/>
  <c r="V15" i="2"/>
  <c r="E32" i="13387" l="1"/>
  <c r="G31" i="13387"/>
  <c r="M34" i="13386"/>
  <c r="M35" i="13386"/>
  <c r="N34" i="13386"/>
  <c r="N35" i="13386"/>
  <c r="E33" i="13387" l="1"/>
  <c r="G32" i="13387"/>
  <c r="F12" i="109"/>
  <c r="E34" i="13387" l="1"/>
  <c r="G33" i="13387"/>
  <c r="F15" i="2"/>
  <c r="Q34" i="1"/>
  <c r="Q33" i="1"/>
  <c r="D22" i="2"/>
  <c r="W13" i="2"/>
  <c r="V11" i="2"/>
  <c r="O23" i="2"/>
  <c r="V23" i="2" s="1"/>
  <c r="E35" i="13387" l="1"/>
  <c r="G34" i="13387"/>
  <c r="X13" i="2"/>
  <c r="Q23" i="1"/>
  <c r="V13" i="2" s="1"/>
  <c r="V12" i="2"/>
  <c r="E36" i="13387" l="1"/>
  <c r="G35" i="13387"/>
  <c r="C37" i="13386"/>
  <c r="I15" i="2"/>
  <c r="D30" i="2" s="1"/>
  <c r="Q29" i="13386" l="1"/>
  <c r="M29" i="13386"/>
  <c r="M30" i="13386" s="1"/>
  <c r="O14" i="2"/>
  <c r="S29" i="13386"/>
  <c r="U29" i="13386"/>
  <c r="O29" i="13386"/>
  <c r="O30" i="13386" s="1"/>
  <c r="Q30" i="13386" l="1"/>
  <c r="Q31" i="13386" s="1"/>
  <c r="U30" i="13386"/>
  <c r="S30" i="13386"/>
  <c r="S31" i="13386" l="1"/>
  <c r="N37" i="13386" s="1"/>
  <c r="N36" i="13386"/>
  <c r="U31" i="13386"/>
  <c r="N38" i="13386" s="1"/>
  <c r="S16" i="13386"/>
  <c r="C40" i="13386" l="1"/>
  <c r="C15" i="1" s="1"/>
  <c r="C18" i="1" s="1"/>
  <c r="O16" i="13386"/>
  <c r="O17" i="13386" s="1"/>
  <c r="S17" i="13386"/>
  <c r="S18" i="13386" s="1"/>
  <c r="M37" i="13386" s="1"/>
  <c r="M16" i="13386"/>
  <c r="M17" i="13386" s="1"/>
  <c r="U16" i="13386"/>
  <c r="Q16" i="13386"/>
  <c r="C22" i="1" l="1"/>
  <c r="U17" i="13386"/>
  <c r="U18" i="13386" s="1"/>
  <c r="M38" i="13386" s="1"/>
  <c r="Q17" i="13386"/>
  <c r="Q18" i="13386" s="1"/>
  <c r="M36" i="13386" s="1"/>
  <c r="C14" i="2" l="1"/>
  <c r="C39" i="13386"/>
  <c r="C14" i="1" s="1"/>
  <c r="D26" i="2" l="1"/>
  <c r="C17" i="1"/>
  <c r="C21" i="1" s="1"/>
  <c r="R34" i="1"/>
  <c r="C37" i="1"/>
  <c r="C38" i="1"/>
  <c r="D28" i="2" l="1"/>
  <c r="D25" i="2"/>
  <c r="D27" i="2"/>
  <c r="C25" i="1"/>
  <c r="F14" i="2" l="1"/>
  <c r="C24" i="1"/>
  <c r="M23" i="1"/>
  <c r="P25" i="2" s="1"/>
  <c r="Q25" i="2" s="1"/>
  <c r="W25" i="2" s="1"/>
  <c r="O23" i="1"/>
  <c r="M22" i="1"/>
  <c r="P24" i="2" s="1"/>
  <c r="O22" i="1"/>
  <c r="M21" i="1"/>
  <c r="O21" i="1"/>
  <c r="C36" i="1"/>
  <c r="C12" i="109"/>
  <c r="C13" i="2"/>
  <c r="R31" i="1"/>
  <c r="R27" i="1"/>
  <c r="I19" i="109" l="1"/>
  <c r="I20" i="109"/>
  <c r="I24" i="109"/>
  <c r="I21" i="109"/>
  <c r="I22" i="109"/>
  <c r="I23" i="109"/>
  <c r="I25" i="109"/>
  <c r="I26" i="109"/>
  <c r="I27" i="109"/>
  <c r="I28" i="109"/>
  <c r="I29" i="109"/>
  <c r="H19" i="109"/>
  <c r="H20" i="109"/>
  <c r="H21" i="109"/>
  <c r="H22" i="109"/>
  <c r="H23" i="109"/>
  <c r="H24" i="109"/>
  <c r="H25" i="109"/>
  <c r="H26" i="109"/>
  <c r="H27" i="109"/>
  <c r="H28" i="109"/>
  <c r="H29" i="109"/>
  <c r="H18" i="109"/>
  <c r="N23" i="1"/>
  <c r="N24" i="1" s="1"/>
  <c r="L23" i="1"/>
  <c r="O25" i="2" s="1"/>
  <c r="O26" i="2" s="1"/>
  <c r="Q24" i="2"/>
  <c r="W24" i="2" s="1"/>
  <c r="D24" i="2"/>
  <c r="Q23" i="2" s="1"/>
  <c r="W23" i="2" s="1"/>
  <c r="D29" i="2"/>
  <c r="X15" i="2" s="1"/>
  <c r="W15" i="2" s="1"/>
  <c r="Q30" i="1"/>
  <c r="Q31" i="1"/>
  <c r="N22" i="1"/>
  <c r="O13" i="2" l="1"/>
  <c r="X12" i="2" s="1"/>
  <c r="N25" i="1"/>
  <c r="O25" i="1" s="1"/>
  <c r="O24" i="1"/>
  <c r="P26" i="2" s="1"/>
  <c r="C35" i="1"/>
  <c r="C39" i="1" s="1"/>
  <c r="X16" i="2"/>
  <c r="W16" i="2" s="1"/>
  <c r="O15" i="2"/>
  <c r="L24" i="1"/>
  <c r="M24" i="1" s="1"/>
  <c r="Q26" i="1"/>
  <c r="F13" i="2"/>
  <c r="L22" i="1"/>
  <c r="O24" i="2" s="1"/>
  <c r="V24" i="2" s="1"/>
  <c r="Q27" i="1"/>
  <c r="V26" i="2"/>
  <c r="W26" i="2" s="1"/>
  <c r="V25" i="2"/>
  <c r="X11" i="2" l="1"/>
  <c r="O17" i="2"/>
  <c r="D32" i="2" s="1"/>
  <c r="I11" i="13387" s="1"/>
  <c r="N26" i="1"/>
  <c r="O26" i="1" s="1"/>
  <c r="Q26" i="2"/>
  <c r="L25" i="1"/>
  <c r="R22" i="1"/>
  <c r="W12" i="2" s="1"/>
  <c r="R21" i="1"/>
  <c r="W11" i="2" s="1"/>
  <c r="I14" i="2"/>
  <c r="O27" i="2"/>
  <c r="V27" i="2" s="1"/>
  <c r="W27" i="2" s="1"/>
  <c r="G32" i="2" l="1"/>
  <c r="M25" i="1"/>
  <c r="P27" i="2" s="1"/>
  <c r="N27" i="1"/>
  <c r="O27" i="1" s="1"/>
  <c r="L26" i="1"/>
  <c r="O28" i="2"/>
  <c r="V28" i="2" s="1"/>
  <c r="W28" i="2" s="1"/>
  <c r="M26" i="1" l="1"/>
  <c r="P28" i="2" s="1"/>
  <c r="N28" i="1"/>
  <c r="O28" i="1" s="1"/>
  <c r="Q27" i="2"/>
  <c r="L27" i="1"/>
  <c r="M27" i="1" s="1"/>
  <c r="O29" i="2"/>
  <c r="V29" i="2" s="1"/>
  <c r="W29" i="2" s="1"/>
  <c r="P29" i="2" l="1"/>
  <c r="N29" i="1"/>
  <c r="O29" i="1" s="1"/>
  <c r="Q28" i="2"/>
  <c r="L28" i="1"/>
  <c r="O30" i="2"/>
  <c r="V30" i="2" s="1"/>
  <c r="W30" i="2" s="1"/>
  <c r="M28" i="1" l="1"/>
  <c r="P30" i="2" s="1"/>
  <c r="N30" i="1"/>
  <c r="O30" i="1" s="1"/>
  <c r="L29" i="1"/>
  <c r="Q29" i="2"/>
  <c r="O31" i="2"/>
  <c r="V31" i="2" s="1"/>
  <c r="W31" i="2" s="1"/>
  <c r="M29" i="1" l="1"/>
  <c r="P31" i="2" s="1"/>
  <c r="N31" i="1"/>
  <c r="O31" i="1" s="1"/>
  <c r="L30" i="1"/>
  <c r="Q30" i="2"/>
  <c r="O32" i="2"/>
  <c r="V32" i="2" s="1"/>
  <c r="W32" i="2" s="1"/>
  <c r="Q31" i="2" l="1"/>
  <c r="M30" i="1"/>
  <c r="P32" i="2" s="1"/>
  <c r="N32" i="1"/>
  <c r="O32" i="1" s="1"/>
  <c r="L31" i="1"/>
  <c r="O33" i="2"/>
  <c r="V33" i="2" s="1"/>
  <c r="W33" i="2" s="1"/>
  <c r="Q32" i="2" l="1"/>
  <c r="M31" i="1"/>
  <c r="P33" i="2" s="1"/>
  <c r="N33" i="1"/>
  <c r="O33" i="1" s="1"/>
  <c r="L32" i="1"/>
  <c r="O34" i="2"/>
  <c r="V34" i="2" s="1"/>
  <c r="W34" i="2" s="1"/>
  <c r="Q33" i="2" l="1"/>
  <c r="M32" i="1"/>
  <c r="P34" i="2" s="1"/>
  <c r="N34" i="1"/>
  <c r="O34" i="1" s="1"/>
  <c r="L33" i="1"/>
  <c r="O35" i="2"/>
  <c r="V35" i="2" s="1"/>
  <c r="W35" i="2" s="1"/>
  <c r="Q34" i="2" l="1"/>
  <c r="M33" i="1"/>
  <c r="P35" i="2" s="1"/>
  <c r="N35" i="1"/>
  <c r="O35" i="1" s="1"/>
  <c r="L34" i="1"/>
  <c r="O36" i="2"/>
  <c r="V36" i="2" s="1"/>
  <c r="W36" i="2" s="1"/>
  <c r="Q35" i="2" l="1"/>
  <c r="M34" i="1"/>
  <c r="P36" i="2" s="1"/>
  <c r="N36" i="1"/>
  <c r="O36" i="1" s="1"/>
  <c r="L35" i="1"/>
  <c r="O37" i="2"/>
  <c r="V37" i="2" s="1"/>
  <c r="W37" i="2" s="1"/>
  <c r="Q36" i="2" l="1"/>
  <c r="M35" i="1"/>
  <c r="P37" i="2" s="1"/>
  <c r="N37" i="1"/>
  <c r="O37" i="1" s="1"/>
  <c r="L36" i="1"/>
  <c r="O38" i="2"/>
  <c r="V38" i="2" s="1"/>
  <c r="W38" i="2" s="1"/>
  <c r="Q37" i="2" l="1"/>
  <c r="M36" i="1"/>
  <c r="P38" i="2" s="1"/>
  <c r="L37" i="1"/>
  <c r="L38" i="1" s="1"/>
  <c r="N38" i="1"/>
  <c r="O38" i="1" s="1"/>
  <c r="O39" i="2"/>
  <c r="V39" i="2" s="1"/>
  <c r="W39" i="2" s="1"/>
  <c r="Q38" i="2" l="1"/>
  <c r="M37" i="1"/>
  <c r="P39" i="2" s="1"/>
  <c r="M38" i="1"/>
  <c r="P40" i="2" s="1"/>
  <c r="N39" i="1"/>
  <c r="O39" i="1" s="1"/>
  <c r="P41" i="2" s="1"/>
  <c r="L39" i="1"/>
  <c r="O40" i="2"/>
  <c r="V40" i="2" s="1"/>
  <c r="W40" i="2" s="1"/>
  <c r="Q39" i="2" l="1"/>
  <c r="M39" i="1"/>
  <c r="N40" i="1"/>
  <c r="O40" i="1" s="1"/>
  <c r="P42" i="2" s="1"/>
  <c r="Q40" i="2"/>
  <c r="L40" i="1"/>
  <c r="O41" i="2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V41" i="2" l="1"/>
  <c r="W41" i="2" s="1"/>
  <c r="M40" i="1"/>
  <c r="N41" i="1"/>
  <c r="O41" i="1" s="1"/>
  <c r="Q41" i="2"/>
  <c r="L41" i="1"/>
  <c r="V42" i="2"/>
  <c r="W42" i="2" s="1"/>
  <c r="M41" i="1" l="1"/>
  <c r="P43" i="2" s="1"/>
  <c r="N42" i="1"/>
  <c r="O42" i="1" s="1"/>
  <c r="Q42" i="2"/>
  <c r="L42" i="1"/>
  <c r="V43" i="2"/>
  <c r="W43" i="2" s="1"/>
  <c r="M42" i="1" l="1"/>
  <c r="P44" i="2" s="1"/>
  <c r="N43" i="1"/>
  <c r="O43" i="1" s="1"/>
  <c r="Q43" i="2"/>
  <c r="L43" i="1"/>
  <c r="V44" i="2"/>
  <c r="W44" i="2" s="1"/>
  <c r="Q44" i="2" l="1"/>
  <c r="M43" i="1"/>
  <c r="P45" i="2" s="1"/>
  <c r="N44" i="1"/>
  <c r="O44" i="1" s="1"/>
  <c r="L44" i="1"/>
  <c r="V45" i="2"/>
  <c r="W45" i="2" s="1"/>
  <c r="M44" i="1" l="1"/>
  <c r="P46" i="2" s="1"/>
  <c r="N45" i="1"/>
  <c r="O45" i="1" s="1"/>
  <c r="L45" i="1"/>
  <c r="Q45" i="2"/>
  <c r="V46" i="2"/>
  <c r="W46" i="2" s="1"/>
  <c r="Q46" i="2" l="1"/>
  <c r="M45" i="1"/>
  <c r="P47" i="2" s="1"/>
  <c r="N46" i="1"/>
  <c r="O46" i="1" s="1"/>
  <c r="L46" i="1"/>
  <c r="V47" i="2"/>
  <c r="W47" i="2" s="1"/>
  <c r="Q47" i="2" l="1"/>
  <c r="M46" i="1"/>
  <c r="P48" i="2" s="1"/>
  <c r="N47" i="1"/>
  <c r="O47" i="1" s="1"/>
  <c r="L47" i="1"/>
  <c r="V48" i="2"/>
  <c r="W48" i="2" s="1"/>
  <c r="Q48" i="2" l="1"/>
  <c r="M47" i="1"/>
  <c r="P49" i="2" s="1"/>
  <c r="Q49" i="2" s="1"/>
  <c r="N48" i="1"/>
  <c r="O48" i="1" s="1"/>
  <c r="L48" i="1"/>
  <c r="V49" i="2"/>
  <c r="W49" i="2" s="1"/>
  <c r="M48" i="1" l="1"/>
  <c r="P50" i="2" s="1"/>
  <c r="N49" i="1"/>
  <c r="O49" i="1" s="1"/>
  <c r="L49" i="1"/>
  <c r="V50" i="2"/>
  <c r="W50" i="2" s="1"/>
  <c r="Q50" i="2" l="1"/>
  <c r="M49" i="1"/>
  <c r="P51" i="2" s="1"/>
  <c r="N50" i="1"/>
  <c r="O50" i="1" s="1"/>
  <c r="L50" i="1"/>
  <c r="V51" i="2"/>
  <c r="W51" i="2" s="1"/>
  <c r="Q51" i="2" l="1"/>
  <c r="M50" i="1"/>
  <c r="P52" i="2" s="1"/>
  <c r="N51" i="1"/>
  <c r="O51" i="1" s="1"/>
  <c r="L51" i="1"/>
  <c r="V52" i="2"/>
  <c r="W52" i="2" s="1"/>
  <c r="Q52" i="2" l="1"/>
  <c r="M51" i="1"/>
  <c r="P53" i="2" s="1"/>
  <c r="N52" i="1"/>
  <c r="O52" i="1" s="1"/>
  <c r="L52" i="1"/>
  <c r="L53" i="1" s="1"/>
  <c r="V53" i="2"/>
  <c r="W53" i="2" s="1"/>
  <c r="Q53" i="2" l="1"/>
  <c r="M53" i="1"/>
  <c r="M52" i="1"/>
  <c r="P54" i="2" s="1"/>
  <c r="Q54" i="2" s="1"/>
  <c r="N53" i="1"/>
  <c r="O53" i="1" s="1"/>
  <c r="P55" i="2" s="1"/>
  <c r="V54" i="2"/>
  <c r="W54" i="2" s="1"/>
  <c r="L54" i="1"/>
  <c r="M54" i="1" l="1"/>
  <c r="N54" i="1"/>
  <c r="O54" i="1" s="1"/>
  <c r="V55" i="2"/>
  <c r="W55" i="2" s="1"/>
  <c r="Q55" i="2"/>
  <c r="L55" i="1"/>
  <c r="P56" i="2" l="1"/>
  <c r="Q56" i="2" s="1"/>
  <c r="M55" i="1"/>
  <c r="N55" i="1"/>
  <c r="O55" i="1" s="1"/>
  <c r="V56" i="2"/>
  <c r="W56" i="2" s="1"/>
  <c r="L56" i="1"/>
  <c r="P57" i="2" l="1"/>
  <c r="Q57" i="2" s="1"/>
  <c r="M56" i="1"/>
  <c r="N56" i="1"/>
  <c r="O56" i="1" s="1"/>
  <c r="V57" i="2"/>
  <c r="W57" i="2" s="1"/>
  <c r="L57" i="1"/>
  <c r="P58" i="2" l="1"/>
  <c r="Q58" i="2" s="1"/>
  <c r="M57" i="1"/>
  <c r="N57" i="1"/>
  <c r="O57" i="1" s="1"/>
  <c r="V58" i="2"/>
  <c r="W58" i="2" s="1"/>
  <c r="L58" i="1"/>
  <c r="M58" i="1" l="1"/>
  <c r="N58" i="1"/>
  <c r="O58" i="1" s="1"/>
  <c r="L59" i="1"/>
  <c r="M59" i="1" l="1"/>
  <c r="N59" i="1"/>
  <c r="O59" i="1" s="1"/>
  <c r="L60" i="1"/>
  <c r="M60" i="1" l="1"/>
  <c r="N60" i="1"/>
  <c r="O60" i="1" s="1"/>
  <c r="L61" i="1"/>
  <c r="M61" i="1" l="1"/>
  <c r="N61" i="1"/>
  <c r="O61" i="1" s="1"/>
  <c r="L62" i="1"/>
  <c r="M62" i="1" l="1"/>
  <c r="N62" i="1"/>
  <c r="O62" i="1" s="1"/>
  <c r="L63" i="1"/>
  <c r="M63" i="1" l="1"/>
  <c r="N63" i="1"/>
  <c r="O63" i="1" s="1"/>
  <c r="L64" i="1"/>
  <c r="M64" i="1" l="1"/>
  <c r="N64" i="1"/>
  <c r="O64" i="1" s="1"/>
  <c r="L65" i="1"/>
  <c r="M65" i="1" l="1"/>
  <c r="N65" i="1"/>
  <c r="O65" i="1" s="1"/>
  <c r="L66" i="1"/>
  <c r="M66" i="1" l="1"/>
  <c r="N66" i="1"/>
  <c r="O66" i="1" s="1"/>
  <c r="L67" i="1"/>
  <c r="M67" i="1" l="1"/>
  <c r="N67" i="1"/>
  <c r="O67" i="1" s="1"/>
  <c r="L68" i="1"/>
  <c r="M68" i="1" l="1"/>
  <c r="N68" i="1"/>
  <c r="O68" i="1" s="1"/>
  <c r="L69" i="1"/>
  <c r="V16" i="2"/>
  <c r="M69" i="1" l="1"/>
  <c r="N69" i="1"/>
  <c r="O69" i="1" s="1"/>
  <c r="G26" i="13387" l="1"/>
  <c r="G24" i="13387" l="1"/>
  <c r="C18" i="109" l="1"/>
  <c r="C19" i="109" s="1"/>
  <c r="C20" i="109" s="1"/>
  <c r="C21" i="109" s="1"/>
  <c r="C22" i="109" s="1"/>
  <c r="C23" i="109" s="1"/>
  <c r="C24" i="109" s="1"/>
  <c r="C25" i="109" s="1"/>
  <c r="C26" i="109" s="1"/>
  <c r="C27" i="109" s="1"/>
  <c r="C28" i="109" s="1"/>
  <c r="C29" i="109" s="1"/>
  <c r="I18" i="109"/>
  <c r="G25" i="13387" l="1"/>
  <c r="G18" i="13387" s="1"/>
  <c r="E9" i="13387"/>
  <c r="I12" i="13387" l="1"/>
  <c r="H32" i="13387"/>
  <c r="I32" i="13387" s="1"/>
  <c r="D26" i="109" s="1"/>
  <c r="H33" i="13387"/>
  <c r="I33" i="13387" s="1"/>
  <c r="D27" i="109" s="1"/>
  <c r="H34" i="13387"/>
  <c r="I34" i="13387" s="1"/>
  <c r="D28" i="109" s="1"/>
  <c r="H35" i="13387"/>
  <c r="I35" i="13387" s="1"/>
  <c r="D29" i="109" s="1"/>
  <c r="H28" i="13387"/>
  <c r="I28" i="13387" s="1"/>
  <c r="D22" i="109" s="1"/>
  <c r="H29" i="13387"/>
  <c r="I29" i="13387" s="1"/>
  <c r="D23" i="109" s="1"/>
  <c r="H30" i="13387"/>
  <c r="I30" i="13387" s="1"/>
  <c r="D24" i="109" s="1"/>
  <c r="H31" i="13387"/>
  <c r="I31" i="13387" s="1"/>
  <c r="D25" i="109" s="1"/>
  <c r="D9" i="109"/>
  <c r="B15" i="109"/>
  <c r="H58" i="13387" l="1"/>
  <c r="G10" i="109"/>
  <c r="K53" i="13387"/>
  <c r="M53" i="13387" s="1"/>
  <c r="K52" i="13387"/>
  <c r="M52" i="13387" s="1"/>
  <c r="K51" i="13387"/>
  <c r="M51" i="13387" s="1"/>
  <c r="K54" i="13387"/>
  <c r="M54" i="13387" s="1"/>
  <c r="K50" i="13387"/>
  <c r="M50" i="13387" s="1"/>
  <c r="K47" i="13387"/>
  <c r="M47" i="13387" s="1"/>
  <c r="K49" i="13387"/>
  <c r="M49" i="13387" s="1"/>
  <c r="K48" i="13387"/>
  <c r="M48" i="13387" s="1"/>
  <c r="H27" i="13387"/>
  <c r="I27" i="13387" s="1"/>
  <c r="D21" i="109" s="1"/>
  <c r="H24" i="13387"/>
  <c r="I24" i="13387" s="1"/>
  <c r="H26" i="13387"/>
  <c r="I26" i="13387" s="1"/>
  <c r="D20" i="109" s="1"/>
  <c r="H25" i="13387"/>
  <c r="I25" i="13387" s="1"/>
  <c r="K58" i="13387" l="1"/>
  <c r="J58" i="13387"/>
  <c r="K44" i="13387"/>
  <c r="M44" i="13387" s="1"/>
  <c r="D19" i="109"/>
  <c r="K45" i="13387"/>
  <c r="M45" i="13387" s="1"/>
  <c r="L54" i="13387"/>
  <c r="L51" i="13387"/>
  <c r="L52" i="13387"/>
  <c r="L53" i="13387"/>
  <c r="L48" i="13387"/>
  <c r="L49" i="13387"/>
  <c r="L47" i="13387"/>
  <c r="L50" i="13387"/>
  <c r="D18" i="109"/>
  <c r="H18" i="13387"/>
  <c r="K46" i="13387"/>
  <c r="M46" i="13387" s="1"/>
  <c r="L45" i="13387" l="1"/>
  <c r="I18" i="13387"/>
  <c r="L46" i="13387"/>
  <c r="K43" i="13387"/>
  <c r="L43" i="13387" s="1"/>
  <c r="J25" i="13387"/>
  <c r="K25" i="13387" s="1"/>
  <c r="L44" i="13387"/>
  <c r="D15" i="109"/>
  <c r="E18" i="109"/>
  <c r="E19" i="109" s="1"/>
  <c r="E20" i="109" l="1"/>
  <c r="F19" i="109"/>
  <c r="G19" i="109" s="1"/>
  <c r="J19" i="109" s="1"/>
  <c r="K19" i="109" s="1"/>
  <c r="M43" i="13387"/>
  <c r="J26" i="13387"/>
  <c r="J27" i="13387" s="1"/>
  <c r="J28" i="13387" s="1"/>
  <c r="J29" i="13387" s="1"/>
  <c r="F18" i="109"/>
  <c r="G18" i="109" s="1"/>
  <c r="J18" i="109" s="1"/>
  <c r="K18" i="109" s="1"/>
  <c r="E21" i="109" l="1"/>
  <c r="F20" i="109"/>
  <c r="G20" i="109" s="1"/>
  <c r="J20" i="109" s="1"/>
  <c r="K20" i="109" s="1"/>
  <c r="K26" i="13387"/>
  <c r="J30" i="13387"/>
  <c r="K27" i="13387" l="1"/>
  <c r="E22" i="109"/>
  <c r="F21" i="109"/>
  <c r="G21" i="109" s="1"/>
  <c r="J21" i="109" s="1"/>
  <c r="K21" i="109" s="1"/>
  <c r="K30" i="13387"/>
  <c r="J31" i="13387"/>
  <c r="K28" i="13387" l="1"/>
  <c r="K29" i="13387" s="1"/>
  <c r="E23" i="109"/>
  <c r="F22" i="109"/>
  <c r="G22" i="109" s="1"/>
  <c r="J22" i="109" s="1"/>
  <c r="K22" i="109" s="1"/>
  <c r="K31" i="13387"/>
  <c r="J32" i="13387"/>
  <c r="E24" i="109" l="1"/>
  <c r="F23" i="109"/>
  <c r="G23" i="109" s="1"/>
  <c r="J23" i="109" s="1"/>
  <c r="K23" i="109" s="1"/>
  <c r="K32" i="13387"/>
  <c r="F20" i="13387" s="1"/>
  <c r="I20" i="13387" s="1"/>
  <c r="J33" i="13387"/>
  <c r="E25" i="109" l="1"/>
  <c r="F24" i="109"/>
  <c r="G24" i="109" s="1"/>
  <c r="J24" i="109" s="1"/>
  <c r="K24" i="109" s="1"/>
  <c r="K33" i="13387"/>
  <c r="J34" i="13387"/>
  <c r="E26" i="109" l="1"/>
  <c r="F25" i="109"/>
  <c r="G25" i="109" s="1"/>
  <c r="J25" i="109" s="1"/>
  <c r="K25" i="109" s="1"/>
  <c r="K34" i="13387"/>
  <c r="J35" i="13387"/>
  <c r="E27" i="109" l="1"/>
  <c r="F26" i="109"/>
  <c r="G26" i="109" s="1"/>
  <c r="J26" i="109" s="1"/>
  <c r="K26" i="109" s="1"/>
  <c r="K35" i="13387"/>
  <c r="J36" i="13387"/>
  <c r="E28" i="109" l="1"/>
  <c r="F27" i="109"/>
  <c r="G27" i="109" s="1"/>
  <c r="J27" i="109" s="1"/>
  <c r="K27" i="109" s="1"/>
  <c r="K36" i="13387"/>
  <c r="E29" i="109" l="1"/>
  <c r="F29" i="109" s="1"/>
  <c r="G29" i="109" s="1"/>
  <c r="J29" i="109" s="1"/>
  <c r="K29" i="109" s="1"/>
  <c r="F28" i="109"/>
  <c r="G28" i="109" s="1"/>
  <c r="J28" i="109" s="1"/>
  <c r="K28" i="109" s="1"/>
</calcChain>
</file>

<file path=xl/sharedStrings.xml><?xml version="1.0" encoding="utf-8"?>
<sst xmlns="http://schemas.openxmlformats.org/spreadsheetml/2006/main" count="391" uniqueCount="225">
  <si>
    <t>Use Site Class:</t>
  </si>
  <si>
    <t>D</t>
  </si>
  <si>
    <r>
      <t>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</si>
  <si>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MS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</si>
  <si>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M1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</si>
  <si>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=</t>
    </r>
  </si>
  <si>
    <r>
      <t>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=</t>
    </r>
  </si>
  <si>
    <r>
      <t>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</si>
  <si>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r>
      <t>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 xml:space="preserve"> =</t>
    </r>
  </si>
  <si>
    <r>
      <t>{ 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 xml:space="preserve"> = 0.2 *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}</t>
    </r>
  </si>
  <si>
    <r>
      <t>{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}</t>
    </r>
  </si>
  <si>
    <r>
      <t>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</si>
  <si>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t>T</t>
  </si>
  <si>
    <r>
      <t>USE S</t>
    </r>
    <r>
      <rPr>
        <b/>
        <vertAlign val="subscript"/>
        <sz val="10"/>
        <rFont val="Arial"/>
        <family val="2"/>
      </rPr>
      <t>a</t>
    </r>
    <r>
      <rPr>
        <b/>
        <sz val="10"/>
        <rFont val="Arial"/>
        <family val="2"/>
      </rPr>
      <t xml:space="preserve"> =</t>
    </r>
  </si>
  <si>
    <t>Does Not Print</t>
  </si>
  <si>
    <t>Seismic Design Category =</t>
  </si>
  <si>
    <r>
      <t>V =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>W</t>
    </r>
  </si>
  <si>
    <t>R =</t>
  </si>
  <si>
    <t>T =</t>
  </si>
  <si>
    <r>
      <t>USE C</t>
    </r>
    <r>
      <rPr>
        <b/>
        <vertAlign val="subscript"/>
        <sz val="10"/>
        <rFont val="Arial"/>
        <family val="2"/>
      </rPr>
      <t>s</t>
    </r>
    <r>
      <rPr>
        <b/>
        <sz val="10"/>
        <rFont val="Arial"/>
        <family val="2"/>
      </rPr>
      <t xml:space="preserve"> =</t>
    </r>
  </si>
  <si>
    <r>
      <t>C</t>
    </r>
    <r>
      <rPr>
        <vertAlign val="subscript"/>
        <sz val="10"/>
        <rFont val="Arial"/>
        <family val="2"/>
      </rPr>
      <t>s</t>
    </r>
  </si>
  <si>
    <r>
      <t>S</t>
    </r>
    <r>
      <rPr>
        <vertAlign val="subscript"/>
        <sz val="10"/>
        <rFont val="Arial"/>
        <family val="2"/>
      </rPr>
      <t>a</t>
    </r>
  </si>
  <si>
    <t>From Site Ground Motions Spreadsheet:</t>
  </si>
  <si>
    <t>Level</t>
  </si>
  <si>
    <t>Height</t>
  </si>
  <si>
    <t>Elevation</t>
  </si>
  <si>
    <r>
      <t>w</t>
    </r>
    <r>
      <rPr>
        <vertAlign val="subscript"/>
        <sz val="10"/>
        <rFont val="Arial"/>
        <family val="2"/>
      </rPr>
      <t>x</t>
    </r>
  </si>
  <si>
    <t>Floor</t>
  </si>
  <si>
    <t>Floor Wt.</t>
  </si>
  <si>
    <t>Building Period =</t>
  </si>
  <si>
    <t>k =</t>
  </si>
  <si>
    <r>
      <t>F</t>
    </r>
    <r>
      <rPr>
        <vertAlign val="subscript"/>
        <sz val="10"/>
        <rFont val="Arial"/>
        <family val="2"/>
      </rPr>
      <t>x</t>
    </r>
  </si>
  <si>
    <t>OTM</t>
  </si>
  <si>
    <t>{ Building Period from Dynamic Analysis }</t>
  </si>
  <si>
    <t>USE T =</t>
  </si>
  <si>
    <t>Building Weight =</t>
  </si>
  <si>
    <t>V =</t>
  </si>
  <si>
    <r>
      <t>S</t>
    </r>
    <r>
      <rPr>
        <b/>
        <vertAlign val="subscript"/>
        <sz val="10"/>
        <rFont val="Arial"/>
        <family val="2"/>
      </rPr>
      <t>DS</t>
    </r>
    <r>
      <rPr>
        <b/>
        <sz val="10"/>
        <rFont val="Arial"/>
        <family val="2"/>
      </rPr>
      <t xml:space="preserve"> =</t>
    </r>
  </si>
  <si>
    <r>
      <t>S</t>
    </r>
    <r>
      <rPr>
        <b/>
        <vertAlign val="subscript"/>
        <sz val="10"/>
        <rFont val="Arial"/>
        <family val="2"/>
      </rPr>
      <t>D1</t>
    </r>
    <r>
      <rPr>
        <b/>
        <sz val="10"/>
        <rFont val="Arial"/>
        <family val="2"/>
      </rPr>
      <t xml:space="preserve"> =</t>
    </r>
  </si>
  <si>
    <r>
      <t>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=</t>
    </r>
  </si>
  <si>
    <t>{ From Chapter 22 }</t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</si>
  <si>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  for (T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 xml:space="preserve"> &lt; T &lt;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>)</t>
    </r>
    <r>
      <rPr>
        <sz val="10"/>
        <rFont val="Arial"/>
        <family val="2"/>
      </rPr>
      <t xml:space="preserve"> per Section 11.4.5.2 }</t>
    </r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</si>
  <si>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T   for (T &gt; T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>)</t>
    </r>
    <r>
      <rPr>
        <sz val="10"/>
        <rFont val="Arial"/>
        <family val="2"/>
      </rPr>
      <t xml:space="preserve"> per Section 11.4.5.3 }</t>
    </r>
  </si>
  <si>
    <t>N.A.</t>
  </si>
  <si>
    <t>= Cs</t>
  </si>
  <si>
    <r>
      <t>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</si>
  <si>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t>n/a</t>
  </si>
  <si>
    <r>
      <t>F</t>
    </r>
    <r>
      <rPr>
        <vertAlign val="subscript"/>
        <sz val="10"/>
        <rFont val="Arial"/>
        <family val="2"/>
      </rPr>
      <t>px</t>
    </r>
  </si>
  <si>
    <t>Fv =</t>
  </si>
  <si>
    <t>Fa =</t>
  </si>
  <si>
    <r>
      <t>S</t>
    </r>
    <r>
      <rPr>
        <vertAlign val="subscript"/>
        <sz val="10"/>
        <color theme="1"/>
        <rFont val="Arial"/>
        <family val="2"/>
      </rPr>
      <t>1</t>
    </r>
    <r>
      <rPr>
        <sz val="10"/>
        <rFont val="Arial"/>
        <family val="2"/>
      </rPr>
      <t xml:space="preserve"> =</t>
    </r>
  </si>
  <si>
    <t>E</t>
  </si>
  <si>
    <r>
      <t>S</t>
    </r>
    <r>
      <rPr>
        <vertAlign val="subscript"/>
        <sz val="10"/>
        <color theme="1"/>
        <rFont val="Arial"/>
        <family val="2"/>
      </rPr>
      <t>S</t>
    </r>
    <r>
      <rPr>
        <sz val="10"/>
        <rFont val="Arial"/>
        <family val="2"/>
      </rPr>
      <t xml:space="preserve"> =</t>
    </r>
  </si>
  <si>
    <t>Site Class =</t>
  </si>
  <si>
    <t>C</t>
  </si>
  <si>
    <t>B</t>
  </si>
  <si>
    <t>A</t>
  </si>
  <si>
    <t>Fv</t>
  </si>
  <si>
    <t>Fa</t>
  </si>
  <si>
    <r>
      <t>NOTE: Use straight-line interpolation for intermediate values of S</t>
    </r>
    <r>
      <rPr>
        <vertAlign val="subscript"/>
        <sz val="10"/>
        <color theme="1"/>
        <rFont val="Arial"/>
        <family val="2"/>
      </rPr>
      <t>1</t>
    </r>
    <r>
      <rPr>
        <sz val="10"/>
        <rFont val="Arial"/>
        <family val="2"/>
      </rPr>
      <t>.</t>
    </r>
  </si>
  <si>
    <t>F</t>
  </si>
  <si>
    <t>Result</t>
  </si>
  <si>
    <t>Match</t>
  </si>
  <si>
    <t>Target</t>
  </si>
  <si>
    <t>Site Class</t>
  </si>
  <si>
    <t>TABLE 11.4-2  SITE COEFFICIENT, Fv</t>
  </si>
  <si>
    <t>FvEy</t>
  </si>
  <si>
    <t>FvEx</t>
  </si>
  <si>
    <t>FvDy</t>
  </si>
  <si>
    <t>FvDx</t>
  </si>
  <si>
    <t>FvCy</t>
  </si>
  <si>
    <t>FvCx</t>
  </si>
  <si>
    <t>FvBy</t>
  </si>
  <si>
    <t>FvBx</t>
  </si>
  <si>
    <t>FvAy</t>
  </si>
  <si>
    <t>FvAx</t>
  </si>
  <si>
    <t>NOTE: Use straight-line interpolation for intermediate values of Ss.</t>
  </si>
  <si>
    <t>TABLE 11.4-1  SITE COEFFICIENT, Fa</t>
  </si>
  <si>
    <r>
      <t>Mapped Risk-Targeted MCE</t>
    </r>
    <r>
      <rPr>
        <vertAlign val="subscript"/>
        <sz val="10"/>
        <color theme="1"/>
        <rFont val="Arial"/>
        <family val="2"/>
      </rPr>
      <t>R</t>
    </r>
  </si>
  <si>
    <t>Spectral Response Acceleration Parameter at Short Period</t>
  </si>
  <si>
    <t>Spectral Response Acceleration Parameter at 1-Second Period</t>
  </si>
  <si>
    <r>
      <t>T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</si>
  <si>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t>{ Alternate Building Period per Eq. 12.8-8 or 12.8-9 if applicable }</t>
  </si>
  <si>
    <r>
      <t>C</t>
    </r>
    <r>
      <rPr>
        <vertAlign val="subscript"/>
        <sz val="10"/>
        <rFont val="Arial"/>
        <family val="2"/>
      </rPr>
      <t>u</t>
    </r>
    <r>
      <rPr>
        <sz val="10"/>
        <rFont val="Arial"/>
        <family val="2"/>
      </rPr>
      <t xml:space="preserve"> =</t>
    </r>
  </si>
  <si>
    <t>{ Coefficient for Upper Limit on Calculated Period from Table 12.8-1 }</t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</si>
  <si>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>* (0.4 + 0.6 T / 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>)   for (T &lt; T</t>
    </r>
    <r>
      <rPr>
        <vertAlign val="subscript"/>
        <sz val="10"/>
        <rFont val="Arial"/>
        <family val="2"/>
      </rPr>
      <t>0</t>
    </r>
    <r>
      <rPr>
        <sz val="10"/>
        <rFont val="Arial"/>
        <family val="2"/>
      </rPr>
      <t>) per Section 11.4.5.1 }</t>
    </r>
  </si>
  <si>
    <r>
      <t>{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 xml:space="preserve">D1 </t>
    </r>
    <r>
      <rPr>
        <sz val="10"/>
        <rFont val="Arial"/>
        <family val="2"/>
      </rPr>
      <t>*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/ T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  for (T &gt;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>) per Section 11.4.5.4 }</t>
    </r>
  </si>
  <si>
    <t>Risk Category =</t>
  </si>
  <si>
    <r>
      <t>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=</t>
    </r>
  </si>
  <si>
    <r>
      <t>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=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</si>
  <si>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>) per Eq. 12.8-2 }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</si>
  <si>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T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>) Maximum per Eq. 12.8-3 }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</si>
  <si>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*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/ T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>) per Eq. 12.8-4 }</t>
    </r>
  </si>
  <si>
    <t>= Does 12.8-6 Apply?</t>
  </si>
  <si>
    <r>
      <t>or 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</si>
  <si>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t>Cs Value determined from 12.8-2 thru 12.8-4.</t>
  </si>
  <si>
    <t>= Minimum Value from 12.8-5 and 12.8-6</t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</si>
  <si>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0.5 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) Minimum, </t>
    </r>
    <r>
      <rPr>
        <u/>
        <sz val="10"/>
        <rFont val="Arial"/>
        <family val="2"/>
      </rPr>
      <t>IFF</t>
    </r>
    <r>
      <rPr>
        <sz val="10"/>
        <rFont val="Arial"/>
        <family val="2"/>
      </rPr>
      <t xml:space="preserve"> 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&gt; 0.6g per Eq. 12.8-6 }</t>
    </r>
  </si>
  <si>
    <t>Equation</t>
  </si>
  <si>
    <t>12.10-1</t>
  </si>
  <si>
    <r>
      <t>Minimum F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= 0.2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w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 per Eq. 12.10-2</t>
    </r>
  </si>
  <si>
    <r>
      <t>Maximum F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= 0.4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w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 per Eq. 12.10-3</t>
    </r>
  </si>
  <si>
    <t>Min.</t>
  </si>
  <si>
    <t>Max.</t>
  </si>
  <si>
    <t>Diaphragm forces from the structural analysis and diaphragm forces from the transfer of forces from</t>
  </si>
  <si>
    <t>above/below the diaphragm are determined separately.</t>
  </si>
  <si>
    <t>Period</t>
  </si>
  <si>
    <t>Minimum</t>
  </si>
  <si>
    <t>Building Period</t>
  </si>
  <si>
    <r>
      <t>or  S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</si>
  <si>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0.044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 or 0.01 Minimum per Eq. 12.8-5 }</t>
    </r>
  </si>
  <si>
    <r>
      <t>or  T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</si>
  <si>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r>
      <t>F</t>
    </r>
    <r>
      <rPr>
        <b/>
        <vertAlign val="subscript"/>
        <sz val="10"/>
        <rFont val="Arial"/>
        <family val="2"/>
      </rPr>
      <t>px</t>
    </r>
  </si>
  <si>
    <r>
      <t>S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</t>
    </r>
  </si>
  <si>
    <r>
      <t>F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=</t>
    </r>
  </si>
  <si>
    <t>{ From Table 11.4-1 }</t>
  </si>
  <si>
    <r>
      <t>F</t>
    </r>
    <r>
      <rPr>
        <vertAlign val="subscript"/>
        <sz val="10"/>
        <rFont val="Arial"/>
        <family val="2"/>
      </rPr>
      <t>v</t>
    </r>
    <r>
      <rPr>
        <sz val="10"/>
        <rFont val="Arial"/>
        <family val="2"/>
      </rPr>
      <t xml:space="preserve"> =</t>
    </r>
  </si>
  <si>
    <t>{ From Table 11.4-2 }</t>
  </si>
  <si>
    <t>SITE COEFFICIENTS PER ASCE 7-16, Chapter 11</t>
  </si>
  <si>
    <t>See Section 11.4.8</t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</si>
  <si>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1.5 *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/ T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) Maximum per Eq. 12.8-3 and </t>
    </r>
    <r>
      <rPr>
        <b/>
        <sz val="10"/>
        <rFont val="Arial"/>
        <family val="2"/>
      </rPr>
      <t>11.4.8</t>
    </r>
    <r>
      <rPr>
        <sz val="10"/>
        <rFont val="Arial"/>
        <family val="2"/>
      </rPr>
      <t xml:space="preserve"> }</t>
    </r>
  </si>
  <si>
    <r>
      <t>{ C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= 1.5 *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* T</t>
    </r>
    <r>
      <rPr>
        <vertAlign val="subscript"/>
        <sz val="10"/>
        <rFont val="Arial"/>
        <family val="2"/>
      </rPr>
      <t>L</t>
    </r>
    <r>
      <rPr>
        <sz val="10"/>
        <rFont val="Arial"/>
        <family val="2"/>
      </rPr>
      <t xml:space="preserve"> / T</t>
    </r>
    <r>
      <rPr>
        <vertAlign val="superscript"/>
        <sz val="10"/>
        <rFont val="Arial"/>
        <family val="2"/>
      </rPr>
      <t>2</t>
    </r>
    <r>
      <rPr>
        <sz val="10"/>
        <rFont val="Arial"/>
        <family val="2"/>
      </rPr>
      <t xml:space="preserve"> / (R / I</t>
    </r>
    <r>
      <rPr>
        <vertAlign val="subscript"/>
        <sz val="10"/>
        <rFont val="Arial"/>
        <family val="2"/>
      </rPr>
      <t>e</t>
    </r>
    <r>
      <rPr>
        <sz val="10"/>
        <rFont val="Arial"/>
        <family val="2"/>
      </rPr>
      <t xml:space="preserve">) per Eq. 12.8-4 and </t>
    </r>
    <r>
      <rPr>
        <b/>
        <sz val="10"/>
        <rFont val="Arial"/>
        <family val="2"/>
      </rPr>
      <t>11.4.8</t>
    </r>
    <r>
      <rPr>
        <sz val="10"/>
        <rFont val="Arial"/>
        <family val="2"/>
      </rPr>
      <t xml:space="preserve"> }</t>
    </r>
  </si>
  <si>
    <t>Latitude =</t>
  </si>
  <si>
    <t>Longitude =</t>
  </si>
  <si>
    <r>
      <t>{ Per ASCE 7-16 S</t>
    </r>
    <r>
      <rPr>
        <vertAlign val="subscript"/>
        <sz val="10"/>
        <rFont val="Arial"/>
        <family val="2"/>
      </rPr>
      <t>MS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S</t>
    </r>
    <r>
      <rPr>
        <sz val="10"/>
        <rFont val="Arial"/>
        <family val="2"/>
      </rPr>
      <t xml:space="preserve"> * F</t>
    </r>
    <r>
      <rPr>
        <vertAlign val="subscript"/>
        <sz val="10"/>
        <rFont val="Arial"/>
        <family val="2"/>
      </rPr>
      <t>a</t>
    </r>
    <r>
      <rPr>
        <sz val="10"/>
        <rFont val="Arial"/>
        <family val="2"/>
      </rPr>
      <t xml:space="preserve"> }</t>
    </r>
  </si>
  <si>
    <r>
      <t>{ Per ASCE 7-16 S</t>
    </r>
    <r>
      <rPr>
        <vertAlign val="subscript"/>
        <sz val="10"/>
        <rFont val="Arial"/>
        <family val="2"/>
      </rPr>
      <t>M1</t>
    </r>
    <r>
      <rPr>
        <sz val="10"/>
        <rFont val="Arial"/>
        <family val="2"/>
      </rPr>
      <t xml:space="preserve"> = S</t>
    </r>
    <r>
      <rPr>
        <vertAlign val="subscript"/>
        <sz val="10"/>
        <rFont val="Arial"/>
        <family val="2"/>
      </rPr>
      <t>1</t>
    </r>
    <r>
      <rPr>
        <sz val="10"/>
        <rFont val="Arial"/>
        <family val="2"/>
      </rPr>
      <t xml:space="preserve"> * F</t>
    </r>
    <r>
      <rPr>
        <vertAlign val="subscript"/>
        <sz val="10"/>
        <rFont val="Arial"/>
        <family val="2"/>
      </rPr>
      <t>v</t>
    </r>
    <r>
      <rPr>
        <sz val="10"/>
        <rFont val="Arial"/>
        <family val="2"/>
      </rPr>
      <t xml:space="preserve"> }</t>
    </r>
  </si>
  <si>
    <t>SITE GROUND MOTIONS PER ASCE 7-16, Chapters 11 and 12</t>
  </si>
  <si>
    <r>
      <t>{ Per ASCE 7-16 S</t>
    </r>
    <r>
      <rPr>
        <vertAlign val="subscript"/>
        <sz val="10"/>
        <rFont val="Arial"/>
        <family val="2"/>
      </rPr>
      <t>DS</t>
    </r>
    <r>
      <rPr>
        <sz val="10"/>
        <rFont val="Arial"/>
        <family val="2"/>
      </rPr>
      <t xml:space="preserve"> = 2/3 S</t>
    </r>
    <r>
      <rPr>
        <vertAlign val="subscript"/>
        <sz val="10"/>
        <rFont val="Arial"/>
        <family val="2"/>
      </rPr>
      <t>MS</t>
    </r>
    <r>
      <rPr>
        <sz val="10"/>
        <rFont val="Arial"/>
        <family val="2"/>
      </rPr>
      <t xml:space="preserve"> }</t>
    </r>
  </si>
  <si>
    <r>
      <t>{ Per ASCE 7-16 S</t>
    </r>
    <r>
      <rPr>
        <vertAlign val="subscript"/>
        <sz val="10"/>
        <rFont val="Arial"/>
        <family val="2"/>
      </rPr>
      <t>D1</t>
    </r>
    <r>
      <rPr>
        <sz val="10"/>
        <rFont val="Arial"/>
        <family val="2"/>
      </rPr>
      <t xml:space="preserve"> = 2/3 S</t>
    </r>
    <r>
      <rPr>
        <vertAlign val="subscript"/>
        <sz val="10"/>
        <rFont val="Arial"/>
        <family val="2"/>
      </rPr>
      <t>M1</t>
    </r>
    <r>
      <rPr>
        <sz val="10"/>
        <rFont val="Arial"/>
        <family val="2"/>
      </rPr>
      <t xml:space="preserve"> }</t>
    </r>
  </si>
  <si>
    <t>{ Building Period per ASCE 7-16 Eq. 12.8-7 }</t>
  </si>
  <si>
    <r>
      <t>h</t>
    </r>
    <r>
      <rPr>
        <vertAlign val="subscript"/>
        <sz val="10"/>
        <rFont val="Arial"/>
        <family val="2"/>
      </rPr>
      <t>n</t>
    </r>
    <r>
      <rPr>
        <sz val="10"/>
        <rFont val="Arial"/>
        <family val="2"/>
      </rPr>
      <t xml:space="preserve"> =</t>
    </r>
  </si>
  <si>
    <t>Project:</t>
  </si>
  <si>
    <t>By:</t>
  </si>
  <si>
    <t>Sheet No.</t>
  </si>
  <si>
    <t>GRAY AREA USED FOR NOTES TO ENGINEER OR BACK-UP CALCS (DOES NOT PRINT)</t>
  </si>
  <si>
    <t>Location:</t>
  </si>
  <si>
    <t>Date:</t>
  </si>
  <si>
    <t>* NOTE: TITLEBLOCK INFORMATION REFERENCES "SITE GROUND MOTION" PAGE</t>
  </si>
  <si>
    <t>Client:</t>
  </si>
  <si>
    <t>Revised:</t>
  </si>
  <si>
    <t>Job No.</t>
  </si>
  <si>
    <t>Subject:</t>
  </si>
  <si>
    <t># Stories =</t>
  </si>
  <si>
    <t>Base Shear, V =</t>
  </si>
  <si>
    <t>Ground Elevation=</t>
  </si>
  <si>
    <t>Building</t>
  </si>
  <si>
    <t>Bldg. Wt.</t>
  </si>
  <si>
    <t>Lateral Force Acts at a Height of:</t>
  </si>
  <si>
    <t>which equals</t>
  </si>
  <si>
    <t>of Building Height</t>
  </si>
  <si>
    <t>Roof</t>
  </si>
  <si>
    <t>—</t>
  </si>
  <si>
    <t>Vertical Distribution of Lateral Forces Per ASCE 7-16 Section 12.8.3</t>
  </si>
  <si>
    <t>SITE GROUND MOTIONS</t>
  </si>
  <si>
    <t>VERTICAL DISTRIBUTION</t>
  </si>
  <si>
    <t>Diaphragm Forces per ASCE 7-16, Section 12.10</t>
  </si>
  <si>
    <t>EQUIVALENT LATERAL FORCE PROCEDURE PER ASCE 7-16 Section 12.8</t>
  </si>
  <si>
    <t>{ From ASCE 7-16, Table 1.5-1 }</t>
  </si>
  <si>
    <t>{ From ASCE 7-16, Section 11.6 }</t>
  </si>
  <si>
    <t>DIAPHRAGM FORCES</t>
  </si>
  <si>
    <t>12.10-2</t>
  </si>
  <si>
    <t>12.10-3</t>
  </si>
  <si>
    <t>lb-s^2/ft</t>
  </si>
  <si>
    <t>k</t>
  </si>
  <si>
    <t>FORMATTING LEGEND</t>
  </si>
  <si>
    <t>Blank highlighted cell = requires engineer input to run.</t>
  </si>
  <si>
    <t>Shaded cell = value requires engineer review/input.</t>
  </si>
  <si>
    <t>Bold red indicates design warning.</t>
  </si>
  <si>
    <r>
      <t>h</t>
    </r>
    <r>
      <rPr>
        <vertAlign val="subscript"/>
        <sz val="10"/>
        <rFont val="Arial"/>
        <family val="2"/>
      </rPr>
      <t>x</t>
    </r>
  </si>
  <si>
    <r>
      <t>w</t>
    </r>
    <r>
      <rPr>
        <vertAlign val="subscript"/>
        <sz val="10"/>
        <rFont val="Arial"/>
        <family val="2"/>
      </rPr>
      <t>x</t>
    </r>
    <r>
      <rPr>
        <sz val="10"/>
        <rFont val="Arial"/>
        <family val="2"/>
      </rPr>
      <t>h</t>
    </r>
    <r>
      <rPr>
        <vertAlign val="subscript"/>
        <sz val="10"/>
        <rFont val="Arial"/>
        <family val="2"/>
      </rPr>
      <t>x</t>
    </r>
    <r>
      <rPr>
        <vertAlign val="superscript"/>
        <sz val="10"/>
        <rFont val="Arial"/>
        <family val="2"/>
      </rPr>
      <t>k</t>
    </r>
  </si>
  <si>
    <r>
      <t>C</t>
    </r>
    <r>
      <rPr>
        <vertAlign val="subscript"/>
        <sz val="10"/>
        <rFont val="Arial"/>
        <family val="2"/>
      </rPr>
      <t>vx</t>
    </r>
  </si>
  <si>
    <r>
      <t>F</t>
    </r>
    <r>
      <rPr>
        <b/>
        <vertAlign val="subscript"/>
        <sz val="10"/>
        <rFont val="Arial"/>
        <family val="2"/>
      </rPr>
      <t>x</t>
    </r>
  </si>
  <si>
    <r>
      <t>V</t>
    </r>
    <r>
      <rPr>
        <vertAlign val="subscript"/>
        <sz val="10"/>
        <rFont val="Arial"/>
        <family val="2"/>
      </rPr>
      <t>x</t>
    </r>
  </si>
  <si>
    <t>4 OF 5</t>
  </si>
  <si>
    <t>ETABS</t>
  </si>
  <si>
    <t>EQUIVALENT LATERAL FORCES</t>
  </si>
  <si>
    <t>SITE COEFFICIENTS</t>
  </si>
  <si>
    <t>1 of 5</t>
  </si>
  <si>
    <t>Template version:</t>
  </si>
  <si>
    <t>Last updated:</t>
  </si>
  <si>
    <t>{ Building above base to roof level, see Vertical Distribution sheet }</t>
  </si>
  <si>
    <t>3 of 5</t>
  </si>
  <si>
    <t>2 of 5</t>
  </si>
  <si>
    <t>{ ASCE 7-16 Section 12.8 }</t>
  </si>
  <si>
    <t>{ ASCE 7-16, Table 12.2-1 }</t>
  </si>
  <si>
    <t>{ ASCE 7-16, Table 1.5-2 }</t>
  </si>
  <si>
    <t>counter</t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</si>
  <si>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w</t>
    </r>
    <r>
      <rPr>
        <vertAlign val="subscript"/>
        <sz val="10"/>
        <rFont val="Calibri"/>
        <family val="2"/>
        <scheme val="minor"/>
      </rPr>
      <t>x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</si>
  <si>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w</t>
    </r>
    <r>
      <rPr>
        <vertAlign val="subscript"/>
        <sz val="10"/>
        <rFont val="Calibri"/>
        <family val="2"/>
        <scheme val="minor"/>
      </rPr>
      <t>x</t>
    </r>
    <r>
      <rPr>
        <sz val="10"/>
        <rFont val="Calibri"/>
        <family val="2"/>
        <scheme val="minor"/>
      </rPr>
      <t>h</t>
    </r>
    <r>
      <rPr>
        <vertAlign val="subscript"/>
        <sz val="10"/>
        <rFont val="Calibri"/>
        <family val="2"/>
        <scheme val="minor"/>
      </rPr>
      <t>x</t>
    </r>
    <r>
      <rPr>
        <vertAlign val="superscript"/>
        <sz val="10"/>
        <rFont val="Calibri"/>
        <family val="2"/>
        <scheme val="minor"/>
      </rPr>
      <t>k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</si>
  <si>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C</t>
    </r>
    <r>
      <rPr>
        <vertAlign val="subscript"/>
        <sz val="10"/>
        <rFont val="Calibri"/>
        <family val="2"/>
        <scheme val="minor"/>
      </rPr>
      <t>vx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</si>
  <si>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F</t>
    </r>
    <r>
      <rPr>
        <vertAlign val="subscript"/>
        <sz val="10"/>
        <rFont val="Calibri"/>
        <family val="2"/>
        <scheme val="minor"/>
      </rPr>
      <t>x</t>
    </r>
  </si>
  <si>
    <t>Per ASCE 7-16 12.8.3</t>
  </si>
  <si>
    <t>Up to 12 stories supported by default. Formulas can be extended to additional levels as required.</t>
  </si>
  <si>
    <t>Hide or delete for other projects.</t>
  </si>
  <si>
    <t>Where a lateral analysis model (such as ETABS) is used for Equivalent Lateral Force (ELF) or Linear Dynamic Analysis, use this section.</t>
  </si>
  <si>
    <t>ANALYSIS MODEL VALIDATION</t>
  </si>
  <si>
    <t>TAKEOFF</t>
  </si>
  <si>
    <t>In ETABS, see Tables -&gt; Other Definitions -&gt; Mass Data -&gt; Table: Mass Summary by Story</t>
  </si>
  <si>
    <t>In ETABS, see Tables -&gt; Analysis Results -&gt; Structure Output -&gt; Other Output Items -&gt; Table: Story Forces</t>
  </si>
  <si>
    <r>
      <t xml:space="preserve">% </t>
    </r>
    <r>
      <rPr>
        <sz val="10"/>
        <rFont val="Calibri"/>
        <family val="2"/>
      </rPr>
      <t>Δ</t>
    </r>
  </si>
  <si>
    <t>MASS BY STORY</t>
  </si>
  <si>
    <t>FORCE BY STORY</t>
  </si>
  <si>
    <t>VY, K</t>
  </si>
  <si>
    <t>VX, K</t>
  </si>
  <si>
    <r>
      <t xml:space="preserve">X - % </t>
    </r>
    <r>
      <rPr>
        <sz val="10"/>
        <rFont val="Calibri"/>
        <family val="2"/>
      </rPr>
      <t>Δ</t>
    </r>
  </si>
  <si>
    <r>
      <t xml:space="preserve">Y - % </t>
    </r>
    <r>
      <rPr>
        <sz val="10"/>
        <rFont val="Calibri"/>
        <family val="2"/>
      </rPr>
      <t>Δ</t>
    </r>
  </si>
  <si>
    <t>In ETABS, see Tables -&gt; Analysis Results -&gt; Structure Output -&gt; Base Reactions -&gt; Table: Base Reactions</t>
  </si>
  <si>
    <t>X</t>
  </si>
  <si>
    <t>Y</t>
  </si>
  <si>
    <t>ETABS Base Reactions, K:</t>
  </si>
  <si>
    <t>BASE SHEAR</t>
  </si>
  <si>
    <r>
      <t>F</t>
    </r>
    <r>
      <rPr>
        <vertAlign val="subscript"/>
        <sz val="10"/>
        <rFont val="Arial"/>
        <family val="2"/>
      </rPr>
      <t>px</t>
    </r>
    <r>
      <rPr>
        <sz val="10"/>
        <rFont val="Arial"/>
        <family val="2"/>
      </rPr>
      <t xml:space="preserve"> / Wx</t>
    </r>
  </si>
  <si>
    <t>Vertical Distribution Story Table Range</t>
  </si>
  <si>
    <t>Analysis Model Validation Table Range</t>
  </si>
  <si>
    <r>
      <t>F</t>
    </r>
    <r>
      <rPr>
        <vertAlign val="subscript"/>
        <sz val="10"/>
        <rFont val="Calibri"/>
        <family val="2"/>
        <scheme val="minor"/>
      </rPr>
      <t>x</t>
    </r>
  </si>
  <si>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F</t>
    </r>
    <r>
      <rPr>
        <vertAlign val="subscript"/>
        <sz val="10"/>
        <rFont val="Calibri"/>
        <family val="2"/>
        <scheme val="minor"/>
      </rPr>
      <t>x</t>
    </r>
    <r>
      <rPr>
        <sz val="10"/>
        <rFont val="Calibri"/>
        <family val="2"/>
        <scheme val="minor"/>
      </rPr>
      <t xml:space="preserve"> / </t>
    </r>
    <r>
      <rPr>
        <sz val="10"/>
        <rFont val="Symbol"/>
        <family val="1"/>
        <charset val="2"/>
      </rPr>
      <t>S</t>
    </r>
    <r>
      <rPr>
        <sz val="10"/>
        <rFont val="Calibri"/>
        <family val="2"/>
        <scheme val="minor"/>
      </rPr>
      <t>w</t>
    </r>
    <r>
      <rPr>
        <vertAlign val="subscript"/>
        <sz val="10"/>
        <rFont val="Calibri"/>
        <family val="2"/>
        <scheme val="minor"/>
      </rPr>
      <t>x</t>
    </r>
  </si>
  <si>
    <t>5 of 5</t>
  </si>
  <si>
    <t>Column to ratio Fpx to Fx?</t>
  </si>
  <si>
    <t>{ Include Upperbound Limit on T per ASCE 7-16, Section 12.8.2 }</t>
  </si>
  <si>
    <t xml:space="preserve">Note: dyamic analysis is required to use Cu * T. </t>
  </si>
  <si>
    <t>Select either Ta per EQ 12.8-7/8/9, or min(T_dyanmic, Cu * Ta).</t>
  </si>
  <si>
    <t>Note: Fv is pulled from the 2022 OSSC. Scaling per 11.4.8 is still required unless we have site-specific values from a geotechnical report</t>
  </si>
  <si>
    <t>II</t>
  </si>
  <si>
    <t>Per Tramell Geotech Report</t>
  </si>
  <si>
    <t>Per geotechnical report dated July 1,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</si>
</sst>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8">
    <numFmt numFmtId="43" formatCode="_(* #,##0.00_);_(* \(#,##0.00\);_(* &quot;-&quot;??_);_(@_)"/>
    <numFmt numFmtId="164" formatCode="0.000\ &quot;g&quot;"/>
    <numFmt numFmtId="165" formatCode="0.0000"/>
    <numFmt numFmtId="166" formatCode="0.000"/>
    <numFmt numFmtId="167" formatCode="0.000\ &quot;s&quot;"/>
    <numFmt numFmtId="168" formatCode="0.00\ &quot;ft&quot;"/>
    <numFmt numFmtId="169" formatCode="0.0"/>
    <numFmt numFmtId="170" formatCode="#,##0\ &quot;k&quot;"/>
    <numFmt numFmtId="171" formatCode="#,##0.000"/>
    <numFmt numFmtId="172" formatCode="#,##0\ &quot;k*ft&quot;"/>
    <numFmt numFmtId="173" formatCode="0.0%"/>
    <numFmt numFmtId="174" formatCode="0.0\ &quot;s&quot;"/>
    <numFmt numFmtId="175" formatCode="0.00\ &quot;s&quot;"/>
    <numFmt numFmtId="176" formatCode="&quot;S1 = &quot;0.0"/>
    <numFmt numFmtId="177" formatCode="&quot;Ss = &quot;0.00"/>
    <numFmt numFmtId="178" formatCode="&quot;Ss &lt;= &quot;0.00"/>
    <numFmt numFmtId="179" formatCode="&quot;Ss &gt;= &quot;0.00"/>
    <numFmt numFmtId="180" formatCode="&quot;S1 &lt;= &quot;0.0"/>
    <numFmt numFmtId="181" formatCode="&quot;S1 &gt;= &quot;0.0"/>
    <numFmt numFmtId="182" formatCode="0.000\ &quot;W&quot;"/>
    <numFmt numFmtId="183" formatCode="0\ &quot;ft&quot;"/>
    <numFmt numFmtId="184" formatCode="mm/dd/yy;@"/>
    <numFmt numFmtId="185" formatCode="0.0E+00"/>
    <numFmt numFmtId="186" formatCode="0.00&quot; ft&quot;"/>
    <numFmt numFmtId="187" formatCode="0.00000"/>
    <numFmt numFmtId="188" formatCode="#,##0.00\ &quot;k&quot;"/>
    <numFmt numFmtId="189" formatCode="#,##0.0000\ &quot;k&quot;"/>
    <numFmt numFmtId="190" formatCode="#,##0.00000\ &quot;k&quot;"/>
  </numFmts>
  <fonts count="53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vertAlign val="subscript"/>
      <sz val="10"/>
      <name val="Arial"/>
      <family val="2"/>
    </font>
    <font>
      <sz val="10"/>
      <color indexed="10"/>
      <name val="Arial"/>
      <family val="2"/>
    </font>
    <font>
      <sz val="10"/>
      <color indexed="17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vertAlign val="subscript"/>
      <sz val="10"/>
      <name val="Arial"/>
      <family val="2"/>
    </font>
    <font>
      <vertAlign val="superscript"/>
      <sz val="10"/>
      <name val="Arial"/>
      <family val="2"/>
    </font>
    <font>
      <sz val="10"/>
      <color rgb="FF00B050"/>
      <name val="Arial"/>
      <family val="2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u/>
      <sz val="10"/>
      <name val="Arial"/>
      <family val="2"/>
    </font>
    <font>
      <b/>
      <sz val="10"/>
      <color theme="1"/>
      <name val="Arial"/>
      <family val="2"/>
    </font>
    <font>
      <vertAlign val="subscript"/>
      <sz val="10"/>
      <color theme="1"/>
      <name val="Arial"/>
      <family val="2"/>
    </font>
    <font>
      <sz val="7.5"/>
      <color theme="1"/>
      <name val="Calibri"/>
      <family val="2"/>
      <scheme val="minor"/>
    </font>
    <font>
      <sz val="7.5"/>
      <name val="Calibri"/>
      <family val="2"/>
      <scheme val="minor"/>
    </font>
    <font>
      <b/>
      <u/>
      <sz val="11"/>
      <name val="Arial"/>
      <family val="2"/>
    </font>
    <font>
      <sz val="8"/>
      <name val="Arial"/>
      <family val="2"/>
    </font>
    <font>
      <b/>
      <sz val="12"/>
      <name val="Calibri"/>
      <family val="2"/>
      <scheme val="minor"/>
    </font>
    <font>
      <u/>
      <sz val="9"/>
      <name val="Arial"/>
      <family val="2"/>
    </font>
    <font>
      <sz val="7.5"/>
      <color rgb="FFFF0000"/>
      <name val="Calibri"/>
      <family val="2"/>
      <scheme val="minor"/>
    </font>
    <font>
      <sz val="1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0"/>
      <color indexed="17"/>
      <name val="Arial"/>
      <family val="2"/>
    </font>
    <font>
      <sz val="10"/>
      <name val="Calibri"/>
      <family val="2"/>
    </font>
    <font>
      <sz val="10"/>
      <name val="Calibri"/>
      <family val="2"/>
      <scheme val="minor"/>
    </font>
    <font>
      <sz val="10"/>
      <name val="Symbol"/>
      <family val="1"/>
      <charset val="2"/>
    </font>
    <font>
      <vertAlign val="subscript"/>
      <sz val="10"/>
      <name val="Calibri"/>
      <family val="2"/>
      <scheme val="minor"/>
    </font>
    <font>
      <vertAlign val="superscript"/>
      <sz val="10"/>
      <name val="Calibri"/>
      <family val="2"/>
      <scheme val="minor"/>
    </font>
    <font>
      <b/>
      <sz val="7.5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6">
    <xf numFmtId="0" fontId="0" fillId="0" borderId="0"/>
    <xf numFmtId="9" fontId="22" fillId="0" borderId="0" applyFont="0" applyFill="0" applyBorder="0" applyAlignment="0" applyProtection="0"/>
    <xf numFmtId="0" fontId="21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8" fillId="0" borderId="0"/>
    <xf numFmtId="0" fontId="17" fillId="0" borderId="0"/>
    <xf numFmtId="0" fontId="14" fillId="0" borderId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8" fillId="0" borderId="0"/>
    <xf numFmtId="0" fontId="7" fillId="0" borderId="0"/>
    <xf numFmtId="0" fontId="22" fillId="0" borderId="0"/>
    <xf numFmtId="9" fontId="22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22" fillId="0" borderId="0" applyFont="0" applyFill="0" applyBorder="0" applyAlignment="0" applyProtection="0"/>
    <xf numFmtId="0" fontId="7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364">
    <xf numFmtId="0" fontId="0" fillId="0" borderId="0" xfId="0"/>
    <xf numFmtId="0" fontId="0" fillId="0" borderId="1" xfId="0" applyBorder="1" applyProtection="1">
      <protection locked="0"/>
    </xf>
    <xf numFmtId="0" fontId="0" fillId="0" borderId="0" xfId="0" applyProtection="1">
      <protection locked="0"/>
    </xf>
    <xf numFmtId="0" fontId="0" fillId="0" borderId="6" xfId="0" applyBorder="1" applyProtection="1">
      <protection locked="0"/>
    </xf>
    <xf numFmtId="0" fontId="0" fillId="0" borderId="2" xfId="0" applyBorder="1" applyProtection="1">
      <protection locked="0"/>
    </xf>
    <xf numFmtId="0" fontId="0" fillId="0" borderId="7" xfId="0" applyBorder="1" applyProtection="1">
      <protection locked="0"/>
    </xf>
    <xf numFmtId="0" fontId="26" fillId="0" borderId="11" xfId="0" applyFont="1" applyBorder="1" applyAlignment="1" applyProtection="1">
      <alignment horizontal="right"/>
      <protection locked="0"/>
    </xf>
    <xf numFmtId="0" fontId="0" fillId="0" borderId="13" xfId="0" applyBorder="1" applyProtection="1">
      <protection locked="0"/>
    </xf>
    <xf numFmtId="0" fontId="0" fillId="0" borderId="14" xfId="0" applyBorder="1" applyProtection="1">
      <protection locked="0"/>
    </xf>
    <xf numFmtId="0" fontId="26" fillId="0" borderId="2" xfId="0" applyFont="1" applyBorder="1" applyAlignment="1" applyProtection="1">
      <alignment horizontal="center"/>
      <protection locked="0"/>
    </xf>
    <xf numFmtId="0" fontId="22" fillId="0" borderId="0" xfId="0" applyFont="1" applyProtection="1">
      <protection locked="0"/>
    </xf>
    <xf numFmtId="0" fontId="22" fillId="0" borderId="0" xfId="0" applyFont="1" applyAlignment="1" applyProtection="1">
      <alignment horizontal="right"/>
      <protection locked="0"/>
    </xf>
    <xf numFmtId="0" fontId="22" fillId="0" borderId="2" xfId="0" applyFont="1" applyBorder="1" applyAlignment="1" applyProtection="1">
      <alignment horizontal="center"/>
      <protection locked="0"/>
    </xf>
    <xf numFmtId="0" fontId="17" fillId="0" borderId="0" xfId="11"/>
    <xf numFmtId="0" fontId="17" fillId="0" borderId="0" xfId="11" applyAlignment="1">
      <alignment horizontal="center"/>
    </xf>
    <xf numFmtId="0" fontId="17" fillId="0" borderId="5" xfId="11" applyBorder="1" applyAlignment="1">
      <alignment horizontal="left"/>
    </xf>
    <xf numFmtId="0" fontId="17" fillId="0" borderId="20" xfId="11" applyBorder="1" applyAlignment="1">
      <alignment horizontal="center"/>
    </xf>
    <xf numFmtId="169" fontId="17" fillId="0" borderId="20" xfId="11" applyNumberFormat="1" applyBorder="1" applyAlignment="1">
      <alignment horizontal="center"/>
    </xf>
    <xf numFmtId="0" fontId="17" fillId="0" borderId="21" xfId="11" applyBorder="1" applyAlignment="1">
      <alignment horizontal="center"/>
    </xf>
    <xf numFmtId="0" fontId="17" fillId="0" borderId="22" xfId="11" applyBorder="1"/>
    <xf numFmtId="0" fontId="17" fillId="0" borderId="23" xfId="11" applyBorder="1"/>
    <xf numFmtId="0" fontId="17" fillId="0" borderId="1" xfId="11" applyBorder="1"/>
    <xf numFmtId="0" fontId="36" fillId="0" borderId="3" xfId="20" applyFont="1" applyBorder="1"/>
    <xf numFmtId="0" fontId="36" fillId="0" borderId="4" xfId="20" applyFont="1" applyBorder="1"/>
    <xf numFmtId="0" fontId="37" fillId="2" borderId="0" xfId="20" applyFont="1" applyFill="1"/>
    <xf numFmtId="0" fontId="38" fillId="2" borderId="0" xfId="20" applyFont="1" applyFill="1"/>
    <xf numFmtId="0" fontId="39" fillId="2" borderId="0" xfId="20" applyFont="1" applyFill="1"/>
    <xf numFmtId="0" fontId="37" fillId="2" borderId="0" xfId="20" applyFont="1" applyFill="1" applyProtection="1">
      <protection locked="0"/>
    </xf>
    <xf numFmtId="0" fontId="36" fillId="0" borderId="13" xfId="20" applyFont="1" applyBorder="1"/>
    <xf numFmtId="0" fontId="36" fillId="0" borderId="0" xfId="20" applyFont="1"/>
    <xf numFmtId="0" fontId="22" fillId="2" borderId="0" xfId="20" applyFill="1"/>
    <xf numFmtId="0" fontId="36" fillId="0" borderId="6" xfId="20" applyFont="1" applyBorder="1"/>
    <xf numFmtId="0" fontId="36" fillId="0" borderId="2" xfId="20" applyFont="1" applyBorder="1"/>
    <xf numFmtId="0" fontId="37" fillId="0" borderId="14" xfId="20" applyFont="1" applyBorder="1"/>
    <xf numFmtId="0" fontId="41" fillId="2" borderId="0" xfId="20" applyFont="1" applyFill="1"/>
    <xf numFmtId="0" fontId="37" fillId="0" borderId="13" xfId="20" applyFont="1" applyBorder="1"/>
    <xf numFmtId="0" fontId="37" fillId="0" borderId="0" xfId="20" applyFont="1" applyProtection="1">
      <protection locked="0"/>
    </xf>
    <xf numFmtId="166" fontId="42" fillId="2" borderId="0" xfId="20" applyNumberFormat="1" applyFont="1" applyFill="1" applyAlignment="1">
      <alignment horizontal="center"/>
    </xf>
    <xf numFmtId="0" fontId="43" fillId="3" borderId="20" xfId="0" applyFont="1" applyFill="1" applyBorder="1" applyAlignment="1">
      <alignment horizontal="center"/>
    </xf>
    <xf numFmtId="0" fontId="22" fillId="3" borderId="20" xfId="0" applyFont="1" applyFill="1" applyBorder="1" applyAlignment="1" applyProtection="1">
      <alignment horizontal="center"/>
      <protection locked="0"/>
    </xf>
    <xf numFmtId="166" fontId="22" fillId="3" borderId="20" xfId="0" applyNumberFormat="1" applyFont="1" applyFill="1" applyBorder="1" applyAlignment="1" applyProtection="1">
      <alignment horizontal="center"/>
      <protection locked="0"/>
    </xf>
    <xf numFmtId="164" fontId="22" fillId="3" borderId="20" xfId="0" applyNumberFormat="1" applyFont="1" applyFill="1" applyBorder="1" applyAlignment="1" applyProtection="1">
      <alignment horizontal="center"/>
      <protection locked="0"/>
    </xf>
    <xf numFmtId="0" fontId="17" fillId="0" borderId="3" xfId="11" applyBorder="1"/>
    <xf numFmtId="0" fontId="17" fillId="0" borderId="4" xfId="11" applyBorder="1"/>
    <xf numFmtId="0" fontId="17" fillId="0" borderId="5" xfId="11" applyBorder="1"/>
    <xf numFmtId="0" fontId="27" fillId="0" borderId="15" xfId="0" applyFont="1" applyBorder="1" applyProtection="1">
      <protection locked="0"/>
    </xf>
    <xf numFmtId="0" fontId="15" fillId="0" borderId="0" xfId="11" applyFont="1"/>
    <xf numFmtId="0" fontId="17" fillId="0" borderId="14" xfId="11" applyBorder="1"/>
    <xf numFmtId="0" fontId="17" fillId="0" borderId="13" xfId="11" applyBorder="1"/>
    <xf numFmtId="0" fontId="34" fillId="0" borderId="0" xfId="11" applyFont="1"/>
    <xf numFmtId="0" fontId="15" fillId="0" borderId="0" xfId="11" applyFont="1" applyAlignment="1">
      <alignment horizontal="right"/>
    </xf>
    <xf numFmtId="0" fontId="17" fillId="0" borderId="0" xfId="11" applyAlignment="1">
      <alignment horizontal="right"/>
    </xf>
    <xf numFmtId="0" fontId="34" fillId="0" borderId="0" xfId="11" applyFont="1" applyAlignment="1">
      <alignment horizontal="right"/>
    </xf>
    <xf numFmtId="2" fontId="31" fillId="0" borderId="0" xfId="11" applyNumberFormat="1" applyFont="1"/>
    <xf numFmtId="0" fontId="17" fillId="0" borderId="6" xfId="11" applyBorder="1"/>
    <xf numFmtId="0" fontId="17" fillId="0" borderId="2" xfId="11" applyBorder="1"/>
    <xf numFmtId="0" fontId="31" fillId="0" borderId="2" xfId="11" applyFont="1" applyBorder="1"/>
    <xf numFmtId="0" fontId="17" fillId="0" borderId="7" xfId="11" applyBorder="1"/>
    <xf numFmtId="178" fontId="22" fillId="0" borderId="20" xfId="11" applyNumberFormat="1" applyFont="1" applyBorder="1" applyAlignment="1">
      <alignment horizontal="center"/>
    </xf>
    <xf numFmtId="177" fontId="22" fillId="0" borderId="20" xfId="11" applyNumberFormat="1" applyFont="1" applyBorder="1" applyAlignment="1">
      <alignment horizontal="center"/>
    </xf>
    <xf numFmtId="179" fontId="22" fillId="0" borderId="20" xfId="11" applyNumberFormat="1" applyFont="1" applyBorder="1" applyAlignment="1">
      <alignment horizontal="center"/>
    </xf>
    <xf numFmtId="180" fontId="22" fillId="0" borderId="20" xfId="11" applyNumberFormat="1" applyFont="1" applyBorder="1" applyAlignment="1">
      <alignment horizontal="center"/>
    </xf>
    <xf numFmtId="176" fontId="22" fillId="0" borderId="20" xfId="11" applyNumberFormat="1" applyFont="1" applyBorder="1" applyAlignment="1">
      <alignment horizontal="center"/>
    </xf>
    <xf numFmtId="181" fontId="22" fillId="0" borderId="20" xfId="11" applyNumberFormat="1" applyFont="1" applyBorder="1" applyAlignment="1">
      <alignment horizontal="center"/>
    </xf>
    <xf numFmtId="166" fontId="26" fillId="0" borderId="20" xfId="11" applyNumberFormat="1" applyFont="1" applyBorder="1" applyAlignment="1">
      <alignment horizontal="center"/>
    </xf>
    <xf numFmtId="0" fontId="22" fillId="0" borderId="0" xfId="11" applyFont="1" applyAlignment="1">
      <alignment horizontal="center"/>
    </xf>
    <xf numFmtId="0" fontId="22" fillId="0" borderId="0" xfId="11" applyFont="1"/>
    <xf numFmtId="166" fontId="22" fillId="0" borderId="0" xfId="11" applyNumberFormat="1" applyFont="1" applyAlignment="1">
      <alignment horizontal="center"/>
    </xf>
    <xf numFmtId="0" fontId="0" fillId="4" borderId="20" xfId="0" applyFill="1" applyBorder="1" applyAlignment="1">
      <alignment horizontal="center"/>
    </xf>
    <xf numFmtId="0" fontId="0" fillId="0" borderId="0" xfId="0" quotePrefix="1" applyAlignment="1">
      <alignment horizontal="left" vertical="top"/>
    </xf>
    <xf numFmtId="0" fontId="0" fillId="0" borderId="0" xfId="0" applyAlignment="1">
      <alignment horizontal="left" vertical="top"/>
    </xf>
    <xf numFmtId="0" fontId="45" fillId="0" borderId="0" xfId="0" applyFont="1" applyAlignment="1">
      <alignment horizontal="center"/>
    </xf>
    <xf numFmtId="0" fontId="22" fillId="0" borderId="2" xfId="20" applyBorder="1" applyAlignment="1" applyProtection="1">
      <alignment horizontal="center"/>
      <protection locked="0"/>
    </xf>
    <xf numFmtId="174" fontId="22" fillId="3" borderId="20" xfId="0" applyNumberFormat="1" applyFont="1" applyFill="1" applyBorder="1" applyAlignment="1">
      <alignment horizontal="center"/>
    </xf>
    <xf numFmtId="175" fontId="22" fillId="3" borderId="20" xfId="0" applyNumberFormat="1" applyFont="1" applyFill="1" applyBorder="1" applyAlignment="1" applyProtection="1">
      <alignment horizontal="center"/>
      <protection locked="0"/>
    </xf>
    <xf numFmtId="167" fontId="22" fillId="3" borderId="20" xfId="0" applyNumberFormat="1" applyFont="1" applyFill="1" applyBorder="1" applyAlignment="1" applyProtection="1">
      <alignment horizontal="center"/>
      <protection locked="0"/>
    </xf>
    <xf numFmtId="175" fontId="26" fillId="3" borderId="20" xfId="0" applyNumberFormat="1" applyFont="1" applyFill="1" applyBorder="1" applyAlignment="1" applyProtection="1">
      <alignment horizontal="center"/>
      <protection locked="0"/>
    </xf>
    <xf numFmtId="0" fontId="22" fillId="0" borderId="14" xfId="20" applyBorder="1"/>
    <xf numFmtId="0" fontId="22" fillId="0" borderId="2" xfId="20" applyBorder="1" applyAlignment="1">
      <alignment horizontal="center"/>
    </xf>
    <xf numFmtId="1" fontId="22" fillId="3" borderId="20" xfId="20" applyNumberFormat="1" applyFill="1" applyBorder="1" applyAlignment="1" applyProtection="1">
      <alignment horizontal="center"/>
      <protection locked="0"/>
    </xf>
    <xf numFmtId="168" fontId="22" fillId="3" borderId="20" xfId="20" applyNumberFormat="1" applyFill="1" applyBorder="1" applyAlignment="1" applyProtection="1">
      <alignment horizontal="center"/>
      <protection locked="0"/>
    </xf>
    <xf numFmtId="0" fontId="26" fillId="0" borderId="0" xfId="20" applyFont="1" applyAlignment="1">
      <alignment horizontal="right"/>
    </xf>
    <xf numFmtId="0" fontId="26" fillId="0" borderId="2" xfId="20" applyFont="1" applyBorder="1" applyAlignment="1">
      <alignment horizontal="center"/>
    </xf>
    <xf numFmtId="0" fontId="22" fillId="0" borderId="0" xfId="20" quotePrefix="1" applyAlignment="1">
      <alignment horizontal="center"/>
    </xf>
    <xf numFmtId="170" fontId="22" fillId="0" borderId="0" xfId="31" applyNumberFormat="1" applyFont="1" applyAlignment="1" applyProtection="1">
      <alignment horizontal="center"/>
      <protection locked="0"/>
    </xf>
    <xf numFmtId="168" fontId="22" fillId="0" borderId="0" xfId="20" applyNumberFormat="1" applyAlignment="1" applyProtection="1">
      <alignment horizontal="center"/>
      <protection locked="0"/>
    </xf>
    <xf numFmtId="170" fontId="22" fillId="0" borderId="0" xfId="20" quotePrefix="1" applyNumberFormat="1" applyAlignment="1" applyProtection="1">
      <alignment horizontal="center"/>
      <protection locked="0"/>
    </xf>
    <xf numFmtId="170" fontId="22" fillId="0" borderId="0" xfId="20" applyNumberFormat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164" fontId="25" fillId="0" borderId="0" xfId="0" applyNumberFormat="1" applyFont="1" applyAlignment="1">
      <alignment horizontal="left"/>
    </xf>
    <xf numFmtId="167" fontId="25" fillId="0" borderId="0" xfId="0" applyNumberFormat="1" applyFont="1" applyAlignment="1">
      <alignment horizontal="left"/>
    </xf>
    <xf numFmtId="0" fontId="26" fillId="0" borderId="0" xfId="0" applyFont="1" applyAlignment="1" applyProtection="1">
      <alignment horizontal="right"/>
      <protection locked="0"/>
    </xf>
    <xf numFmtId="0" fontId="22" fillId="0" borderId="0" xfId="0" quotePrefix="1" applyFont="1" applyAlignment="1" applyProtection="1">
      <alignment horizontal="center"/>
      <protection locked="0"/>
    </xf>
    <xf numFmtId="2" fontId="22" fillId="3" borderId="20" xfId="0" applyNumberFormat="1" applyFont="1" applyFill="1" applyBorder="1" applyAlignment="1" applyProtection="1">
      <alignment horizontal="center"/>
      <protection locked="0"/>
    </xf>
    <xf numFmtId="164" fontId="22" fillId="0" borderId="0" xfId="0" applyNumberFormat="1" applyFont="1" applyAlignment="1">
      <alignment horizontal="left"/>
    </xf>
    <xf numFmtId="167" fontId="22" fillId="0" borderId="0" xfId="0" applyNumberFormat="1" applyFont="1" applyAlignment="1">
      <alignment horizontal="left"/>
    </xf>
    <xf numFmtId="175" fontId="22" fillId="0" borderId="0" xfId="0" applyNumberFormat="1" applyFont="1" applyAlignment="1">
      <alignment horizontal="left"/>
    </xf>
    <xf numFmtId="0" fontId="22" fillId="0" borderId="13" xfId="0" applyFont="1" applyBorder="1" applyProtection="1">
      <protection locked="0"/>
    </xf>
    <xf numFmtId="2" fontId="22" fillId="0" borderId="0" xfId="0" applyNumberFormat="1" applyFont="1" applyAlignment="1">
      <alignment horizontal="center"/>
    </xf>
    <xf numFmtId="166" fontId="22" fillId="0" borderId="0" xfId="0" applyNumberFormat="1" applyFont="1" applyAlignment="1">
      <alignment horizontal="center"/>
    </xf>
    <xf numFmtId="165" fontId="22" fillId="0" borderId="0" xfId="0" applyNumberFormat="1" applyFont="1" applyAlignment="1">
      <alignment horizontal="center"/>
    </xf>
    <xf numFmtId="182" fontId="26" fillId="0" borderId="12" xfId="0" applyNumberFormat="1" applyFont="1" applyBorder="1" applyAlignment="1">
      <alignment horizontal="center"/>
    </xf>
    <xf numFmtId="0" fontId="15" fillId="0" borderId="14" xfId="11" applyFont="1" applyBorder="1"/>
    <xf numFmtId="164" fontId="22" fillId="0" borderId="0" xfId="0" applyNumberFormat="1" applyFont="1" applyAlignment="1">
      <alignment horizontal="center"/>
    </xf>
    <xf numFmtId="164" fontId="31" fillId="0" borderId="0" xfId="0" applyNumberFormat="1" applyFont="1" applyAlignment="1">
      <alignment horizontal="center"/>
    </xf>
    <xf numFmtId="173" fontId="0" fillId="0" borderId="0" xfId="1" applyNumberFormat="1" applyFont="1" applyBorder="1" applyProtection="1">
      <protection locked="0"/>
    </xf>
    <xf numFmtId="0" fontId="22" fillId="0" borderId="0" xfId="0" applyFont="1" applyAlignment="1" applyProtection="1">
      <alignment horizontal="left"/>
      <protection locked="0"/>
    </xf>
    <xf numFmtId="164" fontId="26" fillId="0" borderId="0" xfId="0" applyNumberFormat="1" applyFont="1" applyAlignment="1">
      <alignment horizontal="center"/>
    </xf>
    <xf numFmtId="167" fontId="22" fillId="0" borderId="0" xfId="0" applyNumberFormat="1" applyFont="1" applyAlignment="1">
      <alignment horizontal="center"/>
    </xf>
    <xf numFmtId="0" fontId="0" fillId="0" borderId="0" xfId="0" applyAlignment="1" applyProtection="1">
      <alignment horizontal="left"/>
      <protection locked="0"/>
    </xf>
    <xf numFmtId="167" fontId="24" fillId="0" borderId="0" xfId="0" applyNumberFormat="1" applyFont="1" applyAlignment="1" applyProtection="1">
      <alignment horizontal="center"/>
      <protection locked="0"/>
    </xf>
    <xf numFmtId="0" fontId="0" fillId="2" borderId="0" xfId="0" applyFill="1" applyProtection="1">
      <protection locked="0"/>
    </xf>
    <xf numFmtId="0" fontId="0" fillId="2" borderId="3" xfId="0" applyFill="1" applyBorder="1" applyProtection="1">
      <protection locked="0"/>
    </xf>
    <xf numFmtId="0" fontId="0" fillId="2" borderId="5" xfId="0" applyFill="1" applyBorder="1" applyProtection="1">
      <protection locked="0"/>
    </xf>
    <xf numFmtId="0" fontId="0" fillId="2" borderId="15" xfId="0" applyFill="1" applyBorder="1" applyAlignment="1" applyProtection="1">
      <alignment horizontal="center"/>
      <protection locked="0"/>
    </xf>
    <xf numFmtId="0" fontId="0" fillId="2" borderId="16" xfId="0" applyFill="1" applyBorder="1" applyAlignment="1" applyProtection="1">
      <alignment horizontal="center"/>
      <protection locked="0"/>
    </xf>
    <xf numFmtId="0" fontId="22" fillId="2" borderId="0" xfId="0" applyFont="1" applyFill="1" applyProtection="1">
      <protection locked="0"/>
    </xf>
    <xf numFmtId="167" fontId="22" fillId="2" borderId="13" xfId="0" applyNumberFormat="1" applyFont="1" applyFill="1" applyBorder="1" applyAlignment="1" applyProtection="1">
      <alignment horizontal="center"/>
      <protection locked="0"/>
    </xf>
    <xf numFmtId="164" fontId="22" fillId="2" borderId="14" xfId="0" applyNumberFormat="1" applyFont="1" applyFill="1" applyBorder="1" applyAlignment="1">
      <alignment horizontal="center"/>
    </xf>
    <xf numFmtId="164" fontId="22" fillId="2" borderId="3" xfId="0" applyNumberFormat="1" applyFont="1" applyFill="1" applyBorder="1" applyAlignment="1" applyProtection="1">
      <alignment horizontal="center"/>
      <protection locked="0"/>
    </xf>
    <xf numFmtId="164" fontId="22" fillId="2" borderId="5" xfId="0" applyNumberFormat="1" applyFont="1" applyFill="1" applyBorder="1" applyAlignment="1">
      <alignment horizontal="center"/>
    </xf>
    <xf numFmtId="167" fontId="22" fillId="2" borderId="17" xfId="0" applyNumberFormat="1" applyFont="1" applyFill="1" applyBorder="1" applyAlignment="1">
      <alignment horizontal="center"/>
    </xf>
    <xf numFmtId="164" fontId="22" fillId="2" borderId="18" xfId="0" applyNumberFormat="1" applyFont="1" applyFill="1" applyBorder="1" applyAlignment="1">
      <alignment horizontal="center"/>
    </xf>
    <xf numFmtId="167" fontId="22" fillId="2" borderId="13" xfId="0" applyNumberFormat="1" applyFont="1" applyFill="1" applyBorder="1" applyAlignment="1">
      <alignment horizontal="center"/>
    </xf>
    <xf numFmtId="167" fontId="22" fillId="2" borderId="3" xfId="0" applyNumberFormat="1" applyFont="1" applyFill="1" applyBorder="1" applyAlignment="1">
      <alignment horizontal="center"/>
    </xf>
    <xf numFmtId="167" fontId="22" fillId="2" borderId="6" xfId="0" applyNumberFormat="1" applyFont="1" applyFill="1" applyBorder="1" applyAlignment="1">
      <alignment horizontal="center"/>
    </xf>
    <xf numFmtId="164" fontId="22" fillId="2" borderId="7" xfId="0" applyNumberFormat="1" applyFont="1" applyFill="1" applyBorder="1" applyAlignment="1" applyProtection="1">
      <alignment horizontal="center"/>
      <protection locked="0"/>
    </xf>
    <xf numFmtId="0" fontId="22" fillId="2" borderId="5" xfId="0" applyFont="1" applyFill="1" applyBorder="1" applyAlignment="1" applyProtection="1">
      <alignment horizontal="center"/>
      <protection locked="0"/>
    </xf>
    <xf numFmtId="167" fontId="22" fillId="2" borderId="0" xfId="0" applyNumberFormat="1" applyFont="1" applyFill="1" applyAlignment="1" applyProtection="1">
      <alignment horizontal="center"/>
      <protection locked="0"/>
    </xf>
    <xf numFmtId="164" fontId="22" fillId="2" borderId="0" xfId="0" applyNumberFormat="1" applyFont="1" applyFill="1" applyAlignment="1" applyProtection="1">
      <alignment horizontal="center"/>
      <protection locked="0"/>
    </xf>
    <xf numFmtId="164" fontId="22" fillId="2" borderId="5" xfId="0" applyNumberFormat="1" applyFont="1" applyFill="1" applyBorder="1" applyAlignment="1" applyProtection="1">
      <alignment horizontal="center"/>
      <protection locked="0"/>
    </xf>
    <xf numFmtId="166" fontId="22" fillId="2" borderId="0" xfId="0" applyNumberFormat="1" applyFont="1" applyFill="1" applyAlignment="1" applyProtection="1">
      <alignment horizontal="center"/>
      <protection locked="0"/>
    </xf>
    <xf numFmtId="166" fontId="0" fillId="2" borderId="0" xfId="0" applyNumberFormat="1" applyFill="1" applyAlignment="1" applyProtection="1">
      <alignment horizontal="center"/>
      <protection locked="0"/>
    </xf>
    <xf numFmtId="164" fontId="22" fillId="2" borderId="7" xfId="0" applyNumberFormat="1" applyFont="1" applyFill="1" applyBorder="1" applyAlignment="1">
      <alignment horizontal="center"/>
    </xf>
    <xf numFmtId="0" fontId="17" fillId="2" borderId="0" xfId="11" applyFill="1"/>
    <xf numFmtId="0" fontId="17" fillId="2" borderId="0" xfId="11" applyFill="1" applyAlignment="1">
      <alignment horizontal="center"/>
    </xf>
    <xf numFmtId="0" fontId="22" fillId="2" borderId="0" xfId="11" applyFont="1" applyFill="1"/>
    <xf numFmtId="0" fontId="22" fillId="2" borderId="0" xfId="11" applyFont="1" applyFill="1" applyAlignment="1">
      <alignment horizontal="center"/>
    </xf>
    <xf numFmtId="0" fontId="22" fillId="2" borderId="14" xfId="11" applyFont="1" applyFill="1" applyBorder="1"/>
    <xf numFmtId="0" fontId="22" fillId="2" borderId="18" xfId="11" applyFont="1" applyFill="1" applyBorder="1" applyAlignment="1">
      <alignment horizontal="center"/>
    </xf>
    <xf numFmtId="166" fontId="22" fillId="2" borderId="20" xfId="11" applyNumberFormat="1" applyFont="1" applyFill="1" applyBorder="1" applyAlignment="1">
      <alignment horizontal="center"/>
    </xf>
    <xf numFmtId="0" fontId="22" fillId="2" borderId="20" xfId="11" applyFont="1" applyFill="1" applyBorder="1" applyAlignment="1">
      <alignment horizontal="center"/>
    </xf>
    <xf numFmtId="0" fontId="31" fillId="2" borderId="0" xfId="11" applyFont="1" applyFill="1"/>
    <xf numFmtId="0" fontId="31" fillId="2" borderId="0" xfId="11" applyFont="1" applyFill="1" applyAlignment="1">
      <alignment horizontal="center"/>
    </xf>
    <xf numFmtId="0" fontId="22" fillId="2" borderId="3" xfId="0" applyFont="1" applyFill="1" applyBorder="1" applyProtection="1">
      <protection locked="0"/>
    </xf>
    <xf numFmtId="0" fontId="0" fillId="2" borderId="4" xfId="0" applyFill="1" applyBorder="1" applyProtection="1">
      <protection locked="0"/>
    </xf>
    <xf numFmtId="164" fontId="22" fillId="2" borderId="4" xfId="0" applyNumberFormat="1" applyFont="1" applyFill="1" applyBorder="1" applyAlignment="1">
      <alignment horizontal="center"/>
    </xf>
    <xf numFmtId="165" fontId="22" fillId="2" borderId="5" xfId="0" applyNumberFormat="1" applyFont="1" applyFill="1" applyBorder="1" applyAlignment="1">
      <alignment horizontal="center"/>
    </xf>
    <xf numFmtId="0" fontId="0" fillId="2" borderId="13" xfId="0" applyFill="1" applyBorder="1" applyProtection="1">
      <protection locked="0"/>
    </xf>
    <xf numFmtId="0" fontId="0" fillId="2" borderId="14" xfId="0" applyFill="1" applyBorder="1" applyProtection="1">
      <protection locked="0"/>
    </xf>
    <xf numFmtId="164" fontId="22" fillId="2" borderId="0" xfId="0" applyNumberFormat="1" applyFont="1" applyFill="1" applyAlignment="1">
      <alignment horizontal="center"/>
    </xf>
    <xf numFmtId="165" fontId="22" fillId="2" borderId="14" xfId="0" applyNumberFormat="1" applyFont="1" applyFill="1" applyBorder="1" applyAlignment="1">
      <alignment horizontal="center"/>
    </xf>
    <xf numFmtId="166" fontId="22" fillId="2" borderId="13" xfId="0" applyNumberFormat="1" applyFont="1" applyFill="1" applyBorder="1" applyAlignment="1">
      <alignment horizontal="center"/>
    </xf>
    <xf numFmtId="164" fontId="22" fillId="2" borderId="2" xfId="0" applyNumberFormat="1" applyFont="1" applyFill="1" applyBorder="1" applyAlignment="1">
      <alignment horizontal="center"/>
    </xf>
    <xf numFmtId="165" fontId="22" fillId="2" borderId="7" xfId="0" applyNumberFormat="1" applyFont="1" applyFill="1" applyBorder="1" applyAlignment="1">
      <alignment horizontal="center"/>
    </xf>
    <xf numFmtId="0" fontId="22" fillId="2" borderId="13" xfId="0" applyFont="1" applyFill="1" applyBorder="1" applyAlignment="1" applyProtection="1">
      <alignment horizontal="center"/>
      <protection locked="0"/>
    </xf>
    <xf numFmtId="0" fontId="22" fillId="2" borderId="0" xfId="0" quotePrefix="1" applyFont="1" applyFill="1" applyProtection="1">
      <protection locked="0"/>
    </xf>
    <xf numFmtId="165" fontId="22" fillId="2" borderId="13" xfId="0" applyNumberFormat="1" applyFont="1" applyFill="1" applyBorder="1" applyAlignment="1" applyProtection="1">
      <alignment horizontal="center"/>
      <protection locked="0"/>
    </xf>
    <xf numFmtId="0" fontId="22" fillId="2" borderId="13" xfId="0" applyFont="1" applyFill="1" applyBorder="1" applyProtection="1">
      <protection locked="0"/>
    </xf>
    <xf numFmtId="166" fontId="26" fillId="2" borderId="17" xfId="0" applyNumberFormat="1" applyFont="1" applyFill="1" applyBorder="1" applyAlignment="1">
      <alignment horizontal="center"/>
    </xf>
    <xf numFmtId="0" fontId="26" fillId="2" borderId="18" xfId="0" quotePrefix="1" applyFont="1" applyFill="1" applyBorder="1" applyProtection="1">
      <protection locked="0"/>
    </xf>
    <xf numFmtId="0" fontId="0" fillId="2" borderId="6" xfId="0" applyFill="1" applyBorder="1" applyProtection="1">
      <protection locked="0"/>
    </xf>
    <xf numFmtId="0" fontId="0" fillId="2" borderId="2" xfId="0" applyFill="1" applyBorder="1" applyProtection="1">
      <protection locked="0"/>
    </xf>
    <xf numFmtId="0" fontId="0" fillId="2" borderId="7" xfId="0" applyFill="1" applyBorder="1" applyProtection="1">
      <protection locked="0"/>
    </xf>
    <xf numFmtId="0" fontId="0" fillId="2" borderId="4" xfId="0" applyFill="1" applyBorder="1" applyAlignment="1" applyProtection="1">
      <alignment horizontal="center"/>
      <protection locked="0"/>
    </xf>
    <xf numFmtId="0" fontId="0" fillId="2" borderId="8" xfId="0" applyFill="1" applyBorder="1" applyAlignment="1" applyProtection="1">
      <alignment horizontal="center"/>
      <protection locked="0"/>
    </xf>
    <xf numFmtId="0" fontId="0" fillId="2" borderId="9" xfId="0" applyFill="1" applyBorder="1" applyAlignment="1" applyProtection="1">
      <alignment horizontal="center"/>
      <protection locked="0"/>
    </xf>
    <xf numFmtId="0" fontId="0" fillId="2" borderId="10" xfId="0" applyFill="1" applyBorder="1" applyAlignment="1" applyProtection="1">
      <alignment horizontal="center"/>
      <protection locked="0"/>
    </xf>
    <xf numFmtId="0" fontId="0" fillId="2" borderId="3" xfId="0" applyFill="1" applyBorder="1" applyAlignment="1" applyProtection="1">
      <alignment horizontal="center"/>
      <protection locked="0"/>
    </xf>
    <xf numFmtId="0" fontId="0" fillId="2" borderId="5" xfId="0" applyFill="1" applyBorder="1" applyAlignment="1" applyProtection="1">
      <alignment horizontal="center"/>
      <protection locked="0"/>
    </xf>
    <xf numFmtId="166" fontId="22" fillId="2" borderId="14" xfId="0" applyNumberFormat="1" applyFont="1" applyFill="1" applyBorder="1" applyAlignment="1">
      <alignment horizontal="center"/>
    </xf>
    <xf numFmtId="166" fontId="22" fillId="2" borderId="18" xfId="0" applyNumberFormat="1" applyFont="1" applyFill="1" applyBorder="1" applyAlignment="1">
      <alignment horizontal="center"/>
    </xf>
    <xf numFmtId="164" fontId="22" fillId="2" borderId="19" xfId="0" applyNumberFormat="1" applyFont="1" applyFill="1" applyBorder="1" applyAlignment="1">
      <alignment horizontal="center"/>
    </xf>
    <xf numFmtId="166" fontId="22" fillId="2" borderId="5" xfId="0" applyNumberFormat="1" applyFont="1" applyFill="1" applyBorder="1" applyAlignment="1">
      <alignment horizontal="center"/>
    </xf>
    <xf numFmtId="166" fontId="22" fillId="2" borderId="7" xfId="0" applyNumberFormat="1" applyFont="1" applyFill="1" applyBorder="1" applyAlignment="1">
      <alignment horizontal="center"/>
    </xf>
    <xf numFmtId="167" fontId="25" fillId="2" borderId="0" xfId="0" applyNumberFormat="1" applyFont="1" applyFill="1" applyAlignment="1">
      <alignment horizontal="center"/>
    </xf>
    <xf numFmtId="165" fontId="24" fillId="2" borderId="0" xfId="0" applyNumberFormat="1" applyFont="1" applyFill="1" applyAlignment="1">
      <alignment horizontal="center"/>
    </xf>
    <xf numFmtId="164" fontId="25" fillId="2" borderId="0" xfId="0" applyNumberFormat="1" applyFont="1" applyFill="1" applyAlignment="1">
      <alignment horizontal="center"/>
    </xf>
    <xf numFmtId="170" fontId="26" fillId="0" borderId="0" xfId="20" applyNumberFormat="1" applyFont="1" applyAlignment="1">
      <alignment horizontal="center"/>
    </xf>
    <xf numFmtId="0" fontId="22" fillId="0" borderId="14" xfId="0" applyFont="1" applyBorder="1" applyProtection="1">
      <protection locked="0"/>
    </xf>
    <xf numFmtId="0" fontId="26" fillId="0" borderId="0" xfId="20" applyFont="1"/>
    <xf numFmtId="170" fontId="22" fillId="0" borderId="0" xfId="20" applyNumberFormat="1" applyAlignment="1">
      <alignment horizontal="center"/>
    </xf>
    <xf numFmtId="0" fontId="22" fillId="0" borderId="0" xfId="0" applyFont="1" applyAlignment="1" applyProtection="1">
      <alignment horizontal="center"/>
      <protection locked="0"/>
    </xf>
    <xf numFmtId="0" fontId="22" fillId="0" borderId="6" xfId="0" applyFont="1" applyBorder="1" applyAlignment="1" applyProtection="1">
      <alignment horizontal="center"/>
      <protection locked="0"/>
    </xf>
    <xf numFmtId="0" fontId="22" fillId="0" borderId="13" xfId="0" applyFont="1" applyBorder="1" applyAlignment="1">
      <alignment horizontal="center"/>
    </xf>
    <xf numFmtId="170" fontId="22" fillId="0" borderId="0" xfId="0" applyNumberFormat="1" applyFont="1" applyAlignment="1">
      <alignment horizontal="center"/>
    </xf>
    <xf numFmtId="170" fontId="26" fillId="0" borderId="0" xfId="0" applyNumberFormat="1" applyFont="1" applyAlignment="1">
      <alignment horizontal="center"/>
    </xf>
    <xf numFmtId="0" fontId="22" fillId="0" borderId="6" xfId="0" applyFont="1" applyBorder="1" applyProtection="1">
      <protection locked="0"/>
    </xf>
    <xf numFmtId="0" fontId="22" fillId="0" borderId="2" xfId="0" applyFont="1" applyBorder="1" applyProtection="1">
      <protection locked="0"/>
    </xf>
    <xf numFmtId="0" fontId="22" fillId="0" borderId="7" xfId="0" applyFont="1" applyBorder="1" applyProtection="1">
      <protection locked="0"/>
    </xf>
    <xf numFmtId="170" fontId="46" fillId="2" borderId="0" xfId="20" applyNumberFormat="1" applyFont="1" applyFill="1" applyAlignment="1">
      <alignment horizontal="center"/>
    </xf>
    <xf numFmtId="0" fontId="22" fillId="2" borderId="0" xfId="20" applyFill="1" applyProtection="1">
      <protection locked="0"/>
    </xf>
    <xf numFmtId="0" fontId="37" fillId="2" borderId="0" xfId="20" applyFont="1" applyFill="1" applyAlignment="1" applyProtection="1">
      <alignment vertical="center"/>
      <protection locked="0"/>
    </xf>
    <xf numFmtId="170" fontId="22" fillId="3" borderId="20" xfId="31" applyNumberFormat="1" applyFont="1" applyFill="1" applyBorder="1" applyAlignment="1" applyProtection="1">
      <alignment horizontal="center"/>
      <protection locked="0"/>
    </xf>
    <xf numFmtId="9" fontId="22" fillId="0" borderId="14" xfId="1" applyFont="1" applyBorder="1" applyAlignment="1">
      <alignment horizontal="center"/>
    </xf>
    <xf numFmtId="0" fontId="15" fillId="0" borderId="3" xfId="20" applyFont="1" applyBorder="1"/>
    <xf numFmtId="0" fontId="15" fillId="0" borderId="4" xfId="20" applyFont="1" applyBorder="1"/>
    <xf numFmtId="0" fontId="15" fillId="0" borderId="17" xfId="20" applyFont="1" applyBorder="1" applyAlignment="1">
      <alignment horizontal="right"/>
    </xf>
    <xf numFmtId="0" fontId="15" fillId="0" borderId="23" xfId="20" applyFont="1" applyBorder="1" applyAlignment="1">
      <alignment horizontal="center"/>
    </xf>
    <xf numFmtId="0" fontId="15" fillId="0" borderId="13" xfId="20" applyFont="1" applyBorder="1"/>
    <xf numFmtId="0" fontId="15" fillId="0" borderId="0" xfId="20" applyFont="1"/>
    <xf numFmtId="0" fontId="22" fillId="0" borderId="18" xfId="20" applyBorder="1" applyAlignment="1">
      <alignment horizontal="center"/>
    </xf>
    <xf numFmtId="0" fontId="15" fillId="0" borderId="6" xfId="20" applyFont="1" applyBorder="1"/>
    <xf numFmtId="0" fontId="15" fillId="0" borderId="2" xfId="20" applyFont="1" applyBorder="1"/>
    <xf numFmtId="0" fontId="22" fillId="2" borderId="0" xfId="20" applyFill="1" applyAlignment="1">
      <alignment horizontal="right" vertical="center"/>
    </xf>
    <xf numFmtId="169" fontId="22" fillId="2" borderId="0" xfId="20" applyNumberFormat="1" applyFill="1" applyAlignment="1">
      <alignment horizontal="center" vertical="center"/>
    </xf>
    <xf numFmtId="0" fontId="22" fillId="0" borderId="20" xfId="20" applyBorder="1" applyAlignment="1">
      <alignment horizontal="center"/>
    </xf>
    <xf numFmtId="0" fontId="15" fillId="0" borderId="17" xfId="20" applyFont="1" applyBorder="1" applyAlignment="1">
      <alignment horizontal="right" vertical="center"/>
    </xf>
    <xf numFmtId="0" fontId="22" fillId="0" borderId="18" xfId="20" applyBorder="1" applyAlignment="1">
      <alignment horizontal="center" vertical="center"/>
    </xf>
    <xf numFmtId="0" fontId="15" fillId="0" borderId="23" xfId="20" applyFont="1" applyBorder="1" applyAlignment="1">
      <alignment horizontal="center" vertical="center"/>
    </xf>
    <xf numFmtId="0" fontId="22" fillId="0" borderId="20" xfId="20" applyBorder="1" applyAlignment="1">
      <alignment horizontal="center" vertical="center"/>
    </xf>
    <xf numFmtId="1" fontId="22" fillId="0" borderId="20" xfId="20" applyNumberFormat="1" applyBorder="1" applyAlignment="1">
      <alignment horizontal="center" vertical="center"/>
    </xf>
    <xf numFmtId="0" fontId="22" fillId="3" borderId="20" xfId="20" applyFill="1" applyBorder="1" applyAlignment="1">
      <alignment horizontal="center" vertical="center"/>
    </xf>
    <xf numFmtId="183" fontId="22" fillId="0" borderId="0" xfId="0" applyNumberFormat="1" applyFont="1" applyAlignment="1">
      <alignment horizontal="center"/>
    </xf>
    <xf numFmtId="166" fontId="22" fillId="0" borderId="0" xfId="0" applyNumberFormat="1" applyFont="1" applyAlignment="1">
      <alignment horizontal="left"/>
    </xf>
    <xf numFmtId="14" fontId="22" fillId="2" borderId="0" xfId="20" applyNumberFormat="1" applyFill="1" applyAlignment="1">
      <alignment horizontal="center" vertical="center"/>
    </xf>
    <xf numFmtId="0" fontId="15" fillId="0" borderId="20" xfId="20" applyFont="1" applyBorder="1" applyAlignment="1">
      <alignment horizontal="right" vertical="center"/>
    </xf>
    <xf numFmtId="184" fontId="22" fillId="0" borderId="20" xfId="20" applyNumberFormat="1" applyBorder="1" applyAlignment="1">
      <alignment horizontal="center" vertical="center"/>
    </xf>
    <xf numFmtId="14" fontId="22" fillId="0" borderId="20" xfId="20" applyNumberFormat="1" applyBorder="1" applyAlignment="1">
      <alignment horizontal="center" vertical="center"/>
    </xf>
    <xf numFmtId="0" fontId="15" fillId="0" borderId="20" xfId="20" applyFont="1" applyBorder="1" applyAlignment="1">
      <alignment horizontal="right"/>
    </xf>
    <xf numFmtId="14" fontId="22" fillId="0" borderId="20" xfId="20" applyNumberFormat="1" applyBorder="1" applyAlignment="1">
      <alignment horizontal="center"/>
    </xf>
    <xf numFmtId="1" fontId="22" fillId="0" borderId="18" xfId="20" applyNumberFormat="1" applyBorder="1" applyAlignment="1">
      <alignment horizontal="center"/>
    </xf>
    <xf numFmtId="169" fontId="22" fillId="3" borderId="20" xfId="0" applyNumberFormat="1" applyFont="1" applyFill="1" applyBorder="1" applyAlignment="1" applyProtection="1">
      <alignment horizontal="center"/>
      <protection locked="0"/>
    </xf>
    <xf numFmtId="174" fontId="22" fillId="2" borderId="3" xfId="0" applyNumberFormat="1" applyFont="1" applyFill="1" applyBorder="1" applyAlignment="1">
      <alignment horizontal="center"/>
    </xf>
    <xf numFmtId="174" fontId="22" fillId="2" borderId="6" xfId="0" applyNumberFormat="1" applyFont="1" applyFill="1" applyBorder="1" applyAlignment="1">
      <alignment horizontal="center"/>
    </xf>
    <xf numFmtId="0" fontId="22" fillId="2" borderId="23" xfId="20" applyFill="1" applyBorder="1"/>
    <xf numFmtId="0" fontId="22" fillId="2" borderId="22" xfId="20" applyFill="1" applyBorder="1" applyAlignment="1">
      <alignment horizontal="center"/>
    </xf>
    <xf numFmtId="0" fontId="22" fillId="2" borderId="21" xfId="20" applyFill="1" applyBorder="1" applyAlignment="1">
      <alignment horizontal="center"/>
    </xf>
    <xf numFmtId="0" fontId="48" fillId="0" borderId="2" xfId="20" applyFont="1" applyBorder="1" applyAlignment="1">
      <alignment horizontal="center"/>
    </xf>
    <xf numFmtId="168" fontId="22" fillId="0" borderId="0" xfId="20" applyNumberFormat="1" applyAlignment="1">
      <alignment horizontal="center"/>
    </xf>
    <xf numFmtId="166" fontId="22" fillId="0" borderId="0" xfId="20" applyNumberFormat="1" applyAlignment="1">
      <alignment horizontal="center"/>
    </xf>
    <xf numFmtId="0" fontId="22" fillId="0" borderId="0" xfId="20" applyAlignment="1">
      <alignment horizontal="center"/>
    </xf>
    <xf numFmtId="0" fontId="22" fillId="0" borderId="0" xfId="20"/>
    <xf numFmtId="0" fontId="37" fillId="0" borderId="0" xfId="20" applyFont="1"/>
    <xf numFmtId="0" fontId="22" fillId="0" borderId="0" xfId="20" applyAlignment="1">
      <alignment horizontal="right"/>
    </xf>
    <xf numFmtId="175" fontId="22" fillId="0" borderId="0" xfId="20" applyNumberFormat="1" applyAlignment="1">
      <alignment horizontal="center"/>
    </xf>
    <xf numFmtId="2" fontId="22" fillId="0" borderId="0" xfId="20" applyNumberFormat="1" applyAlignment="1">
      <alignment horizontal="center"/>
    </xf>
    <xf numFmtId="0" fontId="47" fillId="0" borderId="0" xfId="0" applyFont="1" applyAlignment="1" applyProtection="1">
      <alignment horizontal="right"/>
      <protection locked="0"/>
    </xf>
    <xf numFmtId="0" fontId="22" fillId="0" borderId="0" xfId="20" applyProtection="1">
      <protection locked="0"/>
    </xf>
    <xf numFmtId="182" fontId="46" fillId="0" borderId="0" xfId="20" applyNumberFormat="1" applyFont="1" applyAlignment="1">
      <alignment horizontal="center"/>
    </xf>
    <xf numFmtId="170" fontId="32" fillId="0" borderId="0" xfId="20" applyNumberFormat="1" applyFont="1" applyAlignment="1">
      <alignment horizontal="center"/>
    </xf>
    <xf numFmtId="9" fontId="22" fillId="0" borderId="0" xfId="1" applyFont="1" applyFill="1" applyBorder="1" applyAlignment="1" applyProtection="1">
      <alignment horizontal="center"/>
      <protection locked="0"/>
    </xf>
    <xf numFmtId="170" fontId="46" fillId="0" borderId="0" xfId="20" applyNumberFormat="1" applyFont="1" applyAlignment="1">
      <alignment horizontal="center"/>
    </xf>
    <xf numFmtId="0" fontId="26" fillId="0" borderId="0" xfId="20" applyFont="1" applyAlignment="1">
      <alignment horizontal="center"/>
    </xf>
    <xf numFmtId="0" fontId="22" fillId="0" borderId="0" xfId="20" applyAlignment="1">
      <alignment horizontal="center" vertical="center"/>
    </xf>
    <xf numFmtId="9" fontId="22" fillId="0" borderId="14" xfId="1" applyFont="1" applyFill="1" applyBorder="1" applyAlignment="1" applyProtection="1">
      <alignment horizontal="center"/>
      <protection locked="0"/>
    </xf>
    <xf numFmtId="1" fontId="22" fillId="0" borderId="0" xfId="31" applyNumberFormat="1" applyFont="1" applyAlignment="1" applyProtection="1">
      <alignment horizontal="center"/>
      <protection locked="0"/>
    </xf>
    <xf numFmtId="0" fontId="22" fillId="2" borderId="0" xfId="20" applyFill="1" applyAlignment="1">
      <alignment horizontal="center"/>
    </xf>
    <xf numFmtId="0" fontId="22" fillId="2" borderId="0" xfId="20" applyFill="1" applyAlignment="1">
      <alignment horizontal="center" vertical="center" textRotation="90"/>
    </xf>
    <xf numFmtId="0" fontId="22" fillId="2" borderId="0" xfId="20" applyFill="1" applyAlignment="1">
      <alignment horizontal="left"/>
    </xf>
    <xf numFmtId="0" fontId="22" fillId="0" borderId="2" xfId="20" applyBorder="1"/>
    <xf numFmtId="0" fontId="22" fillId="0" borderId="7" xfId="20" applyBorder="1"/>
    <xf numFmtId="170" fontId="22" fillId="0" borderId="2" xfId="20" applyNumberFormat="1" applyBorder="1" applyAlignment="1">
      <alignment horizontal="center"/>
    </xf>
    <xf numFmtId="0" fontId="22" fillId="0" borderId="13" xfId="20" applyBorder="1"/>
    <xf numFmtId="0" fontId="22" fillId="0" borderId="6" xfId="20" applyBorder="1"/>
    <xf numFmtId="2" fontId="22" fillId="3" borderId="20" xfId="20" applyNumberFormat="1" applyFill="1" applyBorder="1" applyAlignment="1">
      <alignment horizontal="center"/>
    </xf>
    <xf numFmtId="2" fontId="22" fillId="3" borderId="20" xfId="20" applyNumberFormat="1" applyFill="1" applyBorder="1"/>
    <xf numFmtId="171" fontId="22" fillId="0" borderId="0" xfId="20" applyNumberFormat="1" applyAlignment="1">
      <alignment horizontal="center"/>
    </xf>
    <xf numFmtId="173" fontId="22" fillId="0" borderId="0" xfId="1" applyNumberFormat="1" applyFont="1" applyBorder="1" applyAlignment="1" applyProtection="1">
      <alignment horizontal="center"/>
    </xf>
    <xf numFmtId="185" fontId="22" fillId="0" borderId="0" xfId="20" applyNumberFormat="1" applyAlignment="1">
      <alignment horizontal="center"/>
    </xf>
    <xf numFmtId="1" fontId="22" fillId="0" borderId="0" xfId="20" applyNumberFormat="1" applyAlignment="1">
      <alignment horizontal="center"/>
    </xf>
    <xf numFmtId="186" fontId="22" fillId="0" borderId="0" xfId="20" applyNumberFormat="1" applyAlignment="1" applyProtection="1">
      <alignment horizontal="center"/>
      <protection locked="0"/>
    </xf>
    <xf numFmtId="186" fontId="22" fillId="0" borderId="2" xfId="20" applyNumberFormat="1" applyBorder="1" applyAlignment="1" applyProtection="1">
      <alignment horizontal="center"/>
      <protection locked="0"/>
    </xf>
    <xf numFmtId="168" fontId="22" fillId="0" borderId="2" xfId="20" applyNumberFormat="1" applyBorder="1" applyAlignment="1">
      <alignment horizontal="center"/>
    </xf>
    <xf numFmtId="170" fontId="22" fillId="0" borderId="2" xfId="20" applyNumberFormat="1" applyBorder="1" applyAlignment="1" applyProtection="1">
      <alignment horizontal="center"/>
      <protection locked="0"/>
    </xf>
    <xf numFmtId="185" fontId="22" fillId="0" borderId="2" xfId="20" applyNumberFormat="1" applyBorder="1" applyAlignment="1">
      <alignment horizontal="center"/>
    </xf>
    <xf numFmtId="166" fontId="22" fillId="0" borderId="2" xfId="20" applyNumberFormat="1" applyBorder="1" applyAlignment="1">
      <alignment horizontal="center"/>
    </xf>
    <xf numFmtId="170" fontId="26" fillId="0" borderId="2" xfId="20" applyNumberFormat="1" applyFont="1" applyBorder="1" applyAlignment="1">
      <alignment horizontal="center"/>
    </xf>
    <xf numFmtId="182" fontId="22" fillId="0" borderId="0" xfId="20" applyNumberFormat="1" applyAlignment="1">
      <alignment horizontal="center"/>
    </xf>
    <xf numFmtId="0" fontId="22" fillId="0" borderId="2" xfId="20" applyBorder="1" applyAlignment="1">
      <alignment horizontal="center" vertical="center"/>
    </xf>
    <xf numFmtId="0" fontId="22" fillId="0" borderId="7" xfId="20" applyBorder="1" applyAlignment="1">
      <alignment horizontal="center" vertical="center"/>
    </xf>
    <xf numFmtId="9" fontId="22" fillId="0" borderId="0" xfId="1" applyFont="1" applyBorder="1" applyAlignment="1">
      <alignment horizontal="center"/>
    </xf>
    <xf numFmtId="0" fontId="26" fillId="0" borderId="0" xfId="20" applyFont="1" applyAlignment="1">
      <alignment horizontal="center" vertical="center"/>
    </xf>
    <xf numFmtId="0" fontId="22" fillId="0" borderId="0" xfId="20" applyAlignment="1" applyProtection="1">
      <alignment horizontal="center" vertical="center"/>
      <protection locked="0"/>
    </xf>
    <xf numFmtId="168" fontId="22" fillId="0" borderId="2" xfId="20" applyNumberFormat="1" applyBorder="1" applyAlignment="1">
      <alignment horizontal="center" vertical="center"/>
    </xf>
    <xf numFmtId="0" fontId="22" fillId="0" borderId="2" xfId="20" applyBorder="1" applyAlignment="1" applyProtection="1">
      <alignment horizontal="center" vertical="center"/>
      <protection locked="0"/>
    </xf>
    <xf numFmtId="0" fontId="22" fillId="0" borderId="0" xfId="20" quotePrefix="1" applyAlignment="1">
      <alignment horizontal="center" vertical="center"/>
    </xf>
    <xf numFmtId="1" fontId="22" fillId="0" borderId="0" xfId="20" applyNumberFormat="1" applyAlignment="1">
      <alignment horizontal="center" vertical="center"/>
    </xf>
    <xf numFmtId="1" fontId="22" fillId="0" borderId="0" xfId="31" applyNumberFormat="1" applyFont="1" applyAlignment="1">
      <alignment horizontal="center" vertical="center"/>
    </xf>
    <xf numFmtId="9" fontId="22" fillId="0" borderId="0" xfId="1" applyFont="1" applyFill="1" applyBorder="1" applyAlignment="1" applyProtection="1">
      <alignment horizontal="center" vertical="center"/>
    </xf>
    <xf numFmtId="166" fontId="22" fillId="0" borderId="0" xfId="20" applyNumberFormat="1" applyAlignment="1">
      <alignment horizontal="center" vertical="center"/>
    </xf>
    <xf numFmtId="1" fontId="22" fillId="0" borderId="0" xfId="20" applyNumberFormat="1" applyAlignment="1" applyProtection="1">
      <alignment horizontal="center" vertical="center"/>
      <protection locked="0"/>
    </xf>
    <xf numFmtId="1" fontId="22" fillId="0" borderId="2" xfId="20" applyNumberFormat="1" applyBorder="1" applyAlignment="1" applyProtection="1">
      <alignment horizontal="center" vertical="center"/>
      <protection locked="0"/>
    </xf>
    <xf numFmtId="1" fontId="22" fillId="0" borderId="2" xfId="20" applyNumberFormat="1" applyBorder="1" applyAlignment="1">
      <alignment horizontal="center" vertical="center"/>
    </xf>
    <xf numFmtId="1" fontId="22" fillId="0" borderId="2" xfId="31" applyNumberFormat="1" applyFont="1" applyBorder="1" applyAlignment="1">
      <alignment horizontal="center" vertical="center"/>
    </xf>
    <xf numFmtId="9" fontId="22" fillId="0" borderId="2" xfId="1" applyFont="1" applyFill="1" applyBorder="1" applyAlignment="1" applyProtection="1">
      <alignment horizontal="center" vertical="center"/>
    </xf>
    <xf numFmtId="166" fontId="22" fillId="0" borderId="2" xfId="20" applyNumberFormat="1" applyBorder="1" applyAlignment="1">
      <alignment horizontal="center" vertical="center"/>
    </xf>
    <xf numFmtId="0" fontId="22" fillId="0" borderId="14" xfId="20" applyBorder="1" applyAlignment="1">
      <alignment horizontal="center" vertical="center"/>
    </xf>
    <xf numFmtId="9" fontId="22" fillId="0" borderId="14" xfId="1" applyFont="1" applyFill="1" applyBorder="1" applyAlignment="1" applyProtection="1">
      <alignment horizontal="center" vertical="center"/>
    </xf>
    <xf numFmtId="0" fontId="22" fillId="0" borderId="7" xfId="0" applyFont="1" applyBorder="1" applyAlignment="1" applyProtection="1">
      <alignment horizontal="center"/>
      <protection locked="0"/>
    </xf>
    <xf numFmtId="164" fontId="30" fillId="0" borderId="0" xfId="20" applyNumberFormat="1" applyFont="1" applyAlignment="1">
      <alignment horizontal="center"/>
    </xf>
    <xf numFmtId="0" fontId="22" fillId="0" borderId="6" xfId="0" applyFont="1" applyBorder="1" applyAlignment="1">
      <alignment horizontal="center"/>
    </xf>
    <xf numFmtId="0" fontId="48" fillId="0" borderId="0" xfId="20" applyFont="1" applyAlignment="1">
      <alignment horizontal="center"/>
    </xf>
    <xf numFmtId="0" fontId="22" fillId="2" borderId="0" xfId="20" applyFill="1" applyAlignment="1">
      <alignment vertical="center" textRotation="90"/>
    </xf>
    <xf numFmtId="170" fontId="22" fillId="0" borderId="2" xfId="0" applyNumberFormat="1" applyFont="1" applyBorder="1" applyAlignment="1">
      <alignment horizontal="center"/>
    </xf>
    <xf numFmtId="170" fontId="26" fillId="0" borderId="2" xfId="0" applyNumberFormat="1" applyFont="1" applyBorder="1" applyAlignment="1">
      <alignment horizontal="center"/>
    </xf>
    <xf numFmtId="170" fontId="22" fillId="0" borderId="4" xfId="0" applyNumberFormat="1" applyFont="1" applyBorder="1" applyAlignment="1">
      <alignment horizontal="center"/>
    </xf>
    <xf numFmtId="166" fontId="22" fillId="0" borderId="14" xfId="0" applyNumberFormat="1" applyFont="1" applyBorder="1" applyAlignment="1">
      <alignment horizontal="center"/>
    </xf>
    <xf numFmtId="166" fontId="22" fillId="0" borderId="7" xfId="0" applyNumberFormat="1" applyFont="1" applyBorder="1" applyAlignment="1">
      <alignment horizontal="center"/>
    </xf>
    <xf numFmtId="9" fontId="22" fillId="0" borderId="0" xfId="1" applyFont="1" applyFill="1" applyBorder="1" applyAlignment="1" applyProtection="1">
      <alignment horizontal="center"/>
    </xf>
    <xf numFmtId="0" fontId="32" fillId="0" borderId="13" xfId="0" applyFont="1" applyBorder="1" applyProtection="1">
      <protection locked="0"/>
    </xf>
    <xf numFmtId="0" fontId="32" fillId="0" borderId="0" xfId="0" applyFont="1" applyProtection="1">
      <protection locked="0"/>
    </xf>
    <xf numFmtId="0" fontId="32" fillId="0" borderId="14" xfId="11" applyFont="1" applyBorder="1"/>
    <xf numFmtId="0" fontId="22" fillId="0" borderId="0" xfId="20" applyAlignment="1" applyProtection="1">
      <alignment horizontal="center"/>
      <protection locked="0"/>
    </xf>
    <xf numFmtId="169" fontId="22" fillId="0" borderId="0" xfId="20" applyNumberFormat="1" applyAlignment="1" applyProtection="1">
      <alignment horizontal="center"/>
      <protection locked="0"/>
    </xf>
    <xf numFmtId="166" fontId="52" fillId="2" borderId="0" xfId="20" applyNumberFormat="1" applyFont="1" applyFill="1" applyAlignment="1">
      <alignment horizontal="left"/>
    </xf>
    <xf numFmtId="188" fontId="26" fillId="0" borderId="0" xfId="20" applyNumberFormat="1" applyFont="1" applyAlignment="1">
      <alignment horizontal="center"/>
    </xf>
    <xf numFmtId="188" fontId="22" fillId="0" borderId="0" xfId="20" applyNumberFormat="1" applyAlignment="1">
      <alignment horizontal="center"/>
    </xf>
    <xf numFmtId="189" fontId="22" fillId="0" borderId="0" xfId="31" applyNumberFormat="1" applyFont="1" applyAlignment="1" applyProtection="1">
      <alignment horizontal="center"/>
      <protection locked="0"/>
    </xf>
    <xf numFmtId="190" fontId="22" fillId="0" borderId="0" xfId="20" applyNumberFormat="1" applyAlignment="1">
      <alignment horizontal="center"/>
    </xf>
    <xf numFmtId="187" fontId="26" fillId="0" borderId="0" xfId="0" applyNumberFormat="1" applyFont="1" applyAlignment="1">
      <alignment horizontal="center"/>
    </xf>
    <xf numFmtId="0" fontId="22" fillId="0" borderId="0" xfId="20" applyAlignment="1">
      <alignment horizontal="center"/>
    </xf>
    <xf numFmtId="166" fontId="22" fillId="0" borderId="0" xfId="20" applyNumberFormat="1" applyAlignment="1">
      <alignment horizontal="center"/>
    </xf>
    <xf numFmtId="170" fontId="22" fillId="0" borderId="0" xfId="1" applyNumberFormat="1" applyFont="1" applyFill="1" applyBorder="1" applyAlignment="1" applyProtection="1">
      <alignment horizontal="center"/>
    </xf>
    <xf numFmtId="172" fontId="22" fillId="0" borderId="0" xfId="20" applyNumberFormat="1" applyAlignment="1">
      <alignment horizontal="center"/>
    </xf>
    <xf numFmtId="172" fontId="22" fillId="0" borderId="2" xfId="20" applyNumberFormat="1" applyBorder="1" applyAlignment="1">
      <alignment horizontal="center"/>
    </xf>
    <xf numFmtId="0" fontId="44" fillId="0" borderId="0" xfId="0" applyFont="1" applyAlignment="1">
      <alignment horizontal="center"/>
    </xf>
    <xf numFmtId="0" fontId="0" fillId="0" borderId="13" xfId="0" quotePrefix="1" applyBorder="1" applyAlignment="1">
      <alignment horizontal="left" vertical="top"/>
    </xf>
    <xf numFmtId="0" fontId="0" fillId="0" borderId="0" xfId="0" quotePrefix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26" fillId="0" borderId="2" xfId="20" applyFont="1" applyBorder="1" applyAlignment="1">
      <alignment horizontal="center"/>
    </xf>
    <xf numFmtId="0" fontId="22" fillId="0" borderId="2" xfId="20" applyBorder="1" applyAlignment="1">
      <alignment horizontal="center"/>
    </xf>
    <xf numFmtId="0" fontId="22" fillId="2" borderId="23" xfId="20" applyFill="1" applyBorder="1" applyAlignment="1">
      <alignment horizontal="center" vertical="center" textRotation="90"/>
    </xf>
    <xf numFmtId="0" fontId="22" fillId="2" borderId="22" xfId="20" applyFill="1" applyBorder="1" applyAlignment="1">
      <alignment horizontal="center" vertical="center" textRotation="90"/>
    </xf>
    <xf numFmtId="0" fontId="22" fillId="2" borderId="21" xfId="20" applyFill="1" applyBorder="1" applyAlignment="1">
      <alignment horizontal="center" vertical="center" textRotation="90"/>
    </xf>
    <xf numFmtId="0" fontId="22" fillId="0" borderId="0" xfId="20" quotePrefix="1" applyAlignment="1">
      <alignment horizontal="center"/>
    </xf>
    <xf numFmtId="0" fontId="26" fillId="3" borderId="2" xfId="20" applyFont="1" applyFill="1" applyBorder="1" applyAlignment="1">
      <alignment horizontal="center"/>
    </xf>
    <xf numFmtId="0" fontId="22" fillId="3" borderId="17" xfId="20" applyFill="1" applyBorder="1" applyAlignment="1">
      <alignment horizontal="center" vertical="center"/>
    </xf>
    <xf numFmtId="0" fontId="22" fillId="3" borderId="18" xfId="20" applyFill="1" applyBorder="1" applyAlignment="1">
      <alignment horizontal="center" vertical="center"/>
    </xf>
    <xf numFmtId="0" fontId="22" fillId="0" borderId="0" xfId="20" applyAlignment="1" applyProtection="1">
      <alignment horizontal="center" vertical="center"/>
      <protection locked="0"/>
    </xf>
    <xf numFmtId="0" fontId="15" fillId="0" borderId="17" xfId="20" applyFont="1" applyBorder="1" applyAlignment="1">
      <alignment horizontal="center"/>
    </xf>
    <xf numFmtId="0" fontId="15" fillId="0" borderId="19" xfId="20" applyFont="1" applyBorder="1" applyAlignment="1">
      <alignment horizontal="center"/>
    </xf>
    <xf numFmtId="0" fontId="15" fillId="0" borderId="18" xfId="20" applyFont="1" applyBorder="1" applyAlignment="1">
      <alignment horizontal="center"/>
    </xf>
    <xf numFmtId="0" fontId="40" fillId="0" borderId="4" xfId="20" applyFont="1" applyBorder="1" applyAlignment="1">
      <alignment horizontal="left"/>
    </xf>
    <xf numFmtId="0" fontId="40" fillId="0" borderId="1" xfId="20" applyFont="1" applyBorder="1" applyAlignment="1">
      <alignment horizontal="left"/>
    </xf>
    <xf numFmtId="0" fontId="22" fillId="3" borderId="17" xfId="0" applyFont="1" applyFill="1" applyBorder="1" applyAlignment="1" applyProtection="1">
      <alignment horizontal="left"/>
      <protection locked="0"/>
    </xf>
    <xf numFmtId="0" fontId="22" fillId="3" borderId="19" xfId="0" applyFont="1" applyFill="1" applyBorder="1" applyAlignment="1" applyProtection="1">
      <alignment horizontal="left"/>
      <protection locked="0"/>
    </xf>
    <xf numFmtId="0" fontId="22" fillId="3" borderId="18" xfId="0" applyFont="1" applyFill="1" applyBorder="1" applyAlignment="1" applyProtection="1">
      <alignment horizontal="left"/>
      <protection locked="0"/>
    </xf>
    <xf numFmtId="0" fontId="44" fillId="0" borderId="0" xfId="0" applyFont="1" applyAlignment="1">
      <alignment horizontal="left"/>
    </xf>
    <xf numFmtId="0" fontId="15" fillId="3" borderId="17" xfId="20" applyFont="1" applyFill="1" applyBorder="1" applyAlignment="1">
      <alignment vertical="center"/>
    </xf>
    <xf numFmtId="0" fontId="15" fillId="3" borderId="19" xfId="20" applyFont="1" applyFill="1" applyBorder="1" applyAlignment="1">
      <alignment vertical="center"/>
    </xf>
    <xf numFmtId="0" fontId="15" fillId="3" borderId="18" xfId="20" applyFont="1" applyFill="1" applyBorder="1" applyAlignment="1">
      <alignment vertical="center"/>
    </xf>
    <xf numFmtId="0" fontId="15" fillId="0" borderId="17" xfId="20" applyFont="1" applyBorder="1" applyAlignment="1">
      <alignment vertical="center"/>
    </xf>
    <xf numFmtId="0" fontId="15" fillId="0" borderId="19" xfId="20" applyFont="1" applyBorder="1" applyAlignment="1">
      <alignment vertical="center"/>
    </xf>
    <xf numFmtId="0" fontId="15" fillId="0" borderId="18" xfId="20" applyFont="1" applyBorder="1" applyAlignment="1">
      <alignment vertical="center"/>
    </xf>
    <xf numFmtId="0" fontId="15" fillId="0" borderId="20" xfId="20" applyFont="1" applyBorder="1" applyAlignment="1">
      <alignment horizontal="center" vertical="center"/>
    </xf>
    <xf numFmtId="169" fontId="17" fillId="0" borderId="17" xfId="11" applyNumberFormat="1" applyBorder="1" applyAlignment="1">
      <alignment horizontal="center"/>
    </xf>
    <xf numFmtId="169" fontId="17" fillId="0" borderId="19" xfId="11" applyNumberFormat="1" applyBorder="1" applyAlignment="1">
      <alignment horizontal="center"/>
    </xf>
    <xf numFmtId="169" fontId="17" fillId="0" borderId="18" xfId="11" applyNumberFormat="1" applyBorder="1" applyAlignment="1">
      <alignment horizontal="center"/>
    </xf>
    <xf numFmtId="0" fontId="15" fillId="0" borderId="17" xfId="11" applyFont="1" applyBorder="1" applyAlignment="1">
      <alignment horizontal="center"/>
    </xf>
    <xf numFmtId="0" fontId="17" fillId="0" borderId="19" xfId="11" applyBorder="1" applyAlignment="1">
      <alignment horizontal="center"/>
    </xf>
    <xf numFmtId="0" fontId="17" fillId="0" borderId="18" xfId="11" applyBorder="1" applyAlignment="1">
      <alignment horizontal="center"/>
    </xf>
    <xf numFmtId="0" fontId="16" fillId="0" borderId="6" xfId="11" applyFont="1" applyBorder="1" applyAlignment="1">
      <alignment horizontal="center"/>
    </xf>
    <xf numFmtId="0" fontId="17" fillId="0" borderId="2" xfId="11" applyBorder="1" applyAlignment="1">
      <alignment horizontal="center"/>
    </xf>
    <xf numFmtId="0" fontId="17" fillId="0" borderId="7" xfId="11" applyBorder="1" applyAlignment="1">
      <alignment horizontal="center"/>
    </xf>
    <xf numFmtId="0" fontId="16" fillId="0" borderId="3" xfId="11" applyFont="1" applyBorder="1" applyAlignment="1">
      <alignment horizontal="center"/>
    </xf>
    <xf numFmtId="0" fontId="17" fillId="0" borderId="4" xfId="11" applyBorder="1" applyAlignment="1">
      <alignment horizontal="center"/>
    </xf>
    <xf numFmtId="0" fontId="17" fillId="0" borderId="5" xfId="11" applyBorder="1" applyAlignment="1">
      <alignment horizontal="center"/>
    </xf>
    <xf numFmtId="169" fontId="15" fillId="0" borderId="17" xfId="11" applyNumberFormat="1" applyFont="1" applyBorder="1" applyAlignment="1">
      <alignment horizontal="center"/>
    </xf>
    <xf numFmtId="169" fontId="15" fillId="0" borderId="19" xfId="11" applyNumberFormat="1" applyFont="1" applyBorder="1" applyAlignment="1">
      <alignment horizontal="center"/>
    </xf>
    <xf numFmtId="169" fontId="15" fillId="0" borderId="18" xfId="11" applyNumberFormat="1" applyFont="1" applyBorder="1" applyAlignment="1">
      <alignment horizontal="center"/>
    </xf>
    <xf numFmtId="0" fontId="15" fillId="0" borderId="20" xfId="20" applyFont="1" applyBorder="1" applyAlignment="1">
      <alignment horizontal="center"/>
    </xf>
    <xf numFmtId="0" fontId="22" fillId="2" borderId="20" xfId="20" applyFill="1" applyBorder="1" applyAlignment="1">
      <alignment horizontal="center" vertical="center" textRotation="90"/>
    </xf>
  </cellXfs>
  <cellStyles count="46">
    <cellStyle name="Comma 2" xfId="37" xr:uid="{00000000-0005-0000-0000-000000000000}"/>
    <cellStyle name="Normal" xfId="0" builtinId="0"/>
    <cellStyle name="Normal 10" xfId="16" xr:uid="{00000000-0005-0000-0000-000002000000}"/>
    <cellStyle name="Normal 10 2" xfId="36" xr:uid="{00000000-0005-0000-0000-000003000000}"/>
    <cellStyle name="Normal 11" xfId="3" xr:uid="{00000000-0005-0000-0000-000004000000}"/>
    <cellStyle name="Normal 11 2" xfId="23" xr:uid="{00000000-0005-0000-0000-000005000000}"/>
    <cellStyle name="Normal 12" xfId="4" xr:uid="{00000000-0005-0000-0000-000006000000}"/>
    <cellStyle name="Normal 12 2" xfId="24" xr:uid="{00000000-0005-0000-0000-000007000000}"/>
    <cellStyle name="Normal 13" xfId="5" xr:uid="{00000000-0005-0000-0000-000008000000}"/>
    <cellStyle name="Normal 13 2" xfId="25" xr:uid="{00000000-0005-0000-0000-000009000000}"/>
    <cellStyle name="Normal 14" xfId="6" xr:uid="{00000000-0005-0000-0000-00000A000000}"/>
    <cellStyle name="Normal 14 2" xfId="26" xr:uid="{00000000-0005-0000-0000-00000B000000}"/>
    <cellStyle name="Normal 15" xfId="7" xr:uid="{00000000-0005-0000-0000-00000C000000}"/>
    <cellStyle name="Normal 15 2" xfId="27" xr:uid="{00000000-0005-0000-0000-00000D000000}"/>
    <cellStyle name="Normal 16" xfId="8" xr:uid="{00000000-0005-0000-0000-00000E000000}"/>
    <cellStyle name="Normal 16 2" xfId="28" xr:uid="{00000000-0005-0000-0000-00000F000000}"/>
    <cellStyle name="Normal 17" xfId="17" xr:uid="{00000000-0005-0000-0000-000010000000}"/>
    <cellStyle name="Normal 17 2" xfId="38" xr:uid="{00000000-0005-0000-0000-000011000000}"/>
    <cellStyle name="Normal 18" xfId="18" xr:uid="{00000000-0005-0000-0000-000012000000}"/>
    <cellStyle name="Normal 18 2" xfId="39" xr:uid="{00000000-0005-0000-0000-000013000000}"/>
    <cellStyle name="Normal 19" xfId="19" xr:uid="{00000000-0005-0000-0000-000014000000}"/>
    <cellStyle name="Normal 2" xfId="9" xr:uid="{00000000-0005-0000-0000-000015000000}"/>
    <cellStyle name="Normal 2 2" xfId="29" xr:uid="{00000000-0005-0000-0000-000016000000}"/>
    <cellStyle name="Normal 20" xfId="20" xr:uid="{00000000-0005-0000-0000-000017000000}"/>
    <cellStyle name="Normal 21" xfId="40" xr:uid="{00000000-0005-0000-0000-000018000000}"/>
    <cellStyle name="Normal 22" xfId="41" xr:uid="{00000000-0005-0000-0000-000019000000}"/>
    <cellStyle name="Normal 23" xfId="42" xr:uid="{00000000-0005-0000-0000-00001A000000}"/>
    <cellStyle name="Normal 24" xfId="43" xr:uid="{00000000-0005-0000-0000-00001B000000}"/>
    <cellStyle name="Normal 25" xfId="44" xr:uid="{00000000-0005-0000-0000-00001C000000}"/>
    <cellStyle name="Normal 26" xfId="45" xr:uid="{00000000-0005-0000-0000-00001D000000}"/>
    <cellStyle name="Normal 3" xfId="2" xr:uid="{00000000-0005-0000-0000-00001E000000}"/>
    <cellStyle name="Normal 3 2" xfId="22" xr:uid="{00000000-0005-0000-0000-00001F000000}"/>
    <cellStyle name="Normal 4" xfId="10" xr:uid="{00000000-0005-0000-0000-000020000000}"/>
    <cellStyle name="Normal 4 2" xfId="30" xr:uid="{00000000-0005-0000-0000-000021000000}"/>
    <cellStyle name="Normal 5" xfId="11" xr:uid="{00000000-0005-0000-0000-000022000000}"/>
    <cellStyle name="Normal 5 2" xfId="31" xr:uid="{00000000-0005-0000-0000-000023000000}"/>
    <cellStyle name="Normal 6" xfId="12" xr:uid="{00000000-0005-0000-0000-000024000000}"/>
    <cellStyle name="Normal 6 2" xfId="32" xr:uid="{00000000-0005-0000-0000-000025000000}"/>
    <cellStyle name="Normal 7" xfId="13" xr:uid="{00000000-0005-0000-0000-000026000000}"/>
    <cellStyle name="Normal 7 2" xfId="33" xr:uid="{00000000-0005-0000-0000-000027000000}"/>
    <cellStyle name="Normal 8" xfId="14" xr:uid="{00000000-0005-0000-0000-000028000000}"/>
    <cellStyle name="Normal 8 2" xfId="34" xr:uid="{00000000-0005-0000-0000-000029000000}"/>
    <cellStyle name="Normal 9" xfId="15" xr:uid="{00000000-0005-0000-0000-00002A000000}"/>
    <cellStyle name="Normal 9 2" xfId="35" xr:uid="{00000000-0005-0000-0000-00002B000000}"/>
    <cellStyle name="Percent" xfId="1" builtinId="5"/>
    <cellStyle name="Percent 2" xfId="21" xr:uid="{00000000-0005-0000-0000-00002D000000}"/>
  </cellStyles>
  <dxfs count="9"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 patternType="solid"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fill>
        <patternFill>
          <bgColor theme="4" tint="0.7999816888943144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9" defaultPivotStyle="PivotStyleLight16"/>
  <colors>
    <mruColors>
      <color rgb="FF0000FF"/>
      <color rgb="FF008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DESIGN RESPONSE SPECTRUM</a:t>
            </a:r>
          </a:p>
        </c:rich>
      </c:tx>
      <c:layout>
        <c:manualLayout>
          <c:xMode val="edge"/>
          <c:yMode val="edge"/>
          <c:x val="0.38216590223637681"/>
          <c:y val="1.798561151079136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589719772621189"/>
          <c:y val="0.1121680793637178"/>
          <c:w val="0.80677879682220299"/>
          <c:h val="0.71157281158298535"/>
        </c:manualLayout>
      </c:layout>
      <c:scatterChart>
        <c:scatterStyle val="lineMarker"/>
        <c:varyColors val="0"/>
        <c:ser>
          <c:idx val="0"/>
          <c:order val="0"/>
          <c:spPr>
            <a:ln w="38100">
              <a:solidFill>
                <a:srgbClr val="000080"/>
              </a:solidFill>
              <a:prstDash val="solid"/>
            </a:ln>
          </c:spPr>
          <c:marker>
            <c:symbol val="none"/>
          </c:marker>
          <c:xVal>
            <c:numRef>
              <c:f>'Site Ground Motions'!$L$21:$L$69</c:f>
              <c:numCache>
                <c:formatCode>0.000\ "s"</c:formatCode>
                <c:ptCount val="49"/>
                <c:pt idx="0">
                  <c:v>0</c:v>
                </c:pt>
                <c:pt idx="1">
                  <c:v>0.15257054492630584</c:v>
                </c:pt>
                <c:pt idx="2">
                  <c:v>0.76285272463152909</c:v>
                </c:pt>
                <c:pt idx="3">
                  <c:v>0.79999999999999993</c:v>
                </c:pt>
                <c:pt idx="4">
                  <c:v>0.89999999999999991</c:v>
                </c:pt>
                <c:pt idx="5">
                  <c:v>0.99999999999999989</c:v>
                </c:pt>
                <c:pt idx="6">
                  <c:v>1.0999999999999999</c:v>
                </c:pt>
                <c:pt idx="7">
                  <c:v>1.2</c:v>
                </c:pt>
                <c:pt idx="8">
                  <c:v>1.3</c:v>
                </c:pt>
                <c:pt idx="9">
                  <c:v>1.4000000000000001</c:v>
                </c:pt>
                <c:pt idx="10">
                  <c:v>1.5000000000000002</c:v>
                </c:pt>
                <c:pt idx="11">
                  <c:v>1.6000000000000003</c:v>
                </c:pt>
                <c:pt idx="12">
                  <c:v>1.7000000000000004</c:v>
                </c:pt>
                <c:pt idx="13">
                  <c:v>1.8000000000000005</c:v>
                </c:pt>
                <c:pt idx="14">
                  <c:v>1.9000000000000006</c:v>
                </c:pt>
                <c:pt idx="15">
                  <c:v>2.0000000000000004</c:v>
                </c:pt>
                <c:pt idx="16">
                  <c:v>2.1000000000000005</c:v>
                </c:pt>
                <c:pt idx="17">
                  <c:v>2.2000000000000006</c:v>
                </c:pt>
                <c:pt idx="18">
                  <c:v>2.3000000000000007</c:v>
                </c:pt>
                <c:pt idx="19">
                  <c:v>2.5000000000000009</c:v>
                </c:pt>
                <c:pt idx="20">
                  <c:v>2.7000000000000011</c:v>
                </c:pt>
                <c:pt idx="21">
                  <c:v>2.9000000000000012</c:v>
                </c:pt>
                <c:pt idx="22">
                  <c:v>3.1000000000000014</c:v>
                </c:pt>
                <c:pt idx="23">
                  <c:v>3.3000000000000016</c:v>
                </c:pt>
                <c:pt idx="24">
                  <c:v>3.5000000000000018</c:v>
                </c:pt>
                <c:pt idx="25">
                  <c:v>3.700000000000002</c:v>
                </c:pt>
                <c:pt idx="26">
                  <c:v>3.9000000000000021</c:v>
                </c:pt>
                <c:pt idx="27">
                  <c:v>4.1000000000000023</c:v>
                </c:pt>
                <c:pt idx="28">
                  <c:v>4.3000000000000025</c:v>
                </c:pt>
                <c:pt idx="29">
                  <c:v>4.5000000000000027</c:v>
                </c:pt>
                <c:pt idx="30">
                  <c:v>4.7000000000000028</c:v>
                </c:pt>
                <c:pt idx="31">
                  <c:v>4.900000000000003</c:v>
                </c:pt>
                <c:pt idx="32">
                  <c:v>5.1000000000000032</c:v>
                </c:pt>
                <c:pt idx="33">
                  <c:v>5.3000000000000034</c:v>
                </c:pt>
                <c:pt idx="34">
                  <c:v>5.5000000000000036</c:v>
                </c:pt>
                <c:pt idx="35">
                  <c:v>5.7000000000000037</c:v>
                </c:pt>
                <c:pt idx="36">
                  <c:v>5.9000000000000039</c:v>
                </c:pt>
                <c:pt idx="37">
                  <c:v>6.1000000000000041</c:v>
                </c:pt>
                <c:pt idx="38">
                  <c:v>6.3000000000000043</c:v>
                </c:pt>
                <c:pt idx="39">
                  <c:v>6.5000000000000044</c:v>
                </c:pt>
                <c:pt idx="40">
                  <c:v>6.7000000000000046</c:v>
                </c:pt>
                <c:pt idx="41">
                  <c:v>6.9000000000000048</c:v>
                </c:pt>
                <c:pt idx="42">
                  <c:v>7.100000000000005</c:v>
                </c:pt>
                <c:pt idx="43">
                  <c:v>7.3000000000000052</c:v>
                </c:pt>
                <c:pt idx="44">
                  <c:v>7.5000000000000053</c:v>
                </c:pt>
                <c:pt idx="45">
                  <c:v>7.7000000000000055</c:v>
                </c:pt>
                <c:pt idx="46">
                  <c:v>7.9000000000000057</c:v>
                </c:pt>
                <c:pt idx="47">
                  <c:v>8.100000000000005</c:v>
                </c:pt>
                <c:pt idx="48">
                  <c:v>8.3000000000000043</c:v>
                </c:pt>
              </c:numCache>
            </c:numRef>
          </c:xVal>
          <c:yVal>
            <c:numRef>
              <c:f>'Site Ground Motions'!$M$21:$M$69</c:f>
              <c:numCache>
                <c:formatCode>0.000\ "g"</c:formatCode>
                <c:ptCount val="49"/>
                <c:pt idx="0">
                  <c:v>0.27087797333333336</c:v>
                </c:pt>
                <c:pt idx="1">
                  <c:v>0.67719493333333336</c:v>
                </c:pt>
                <c:pt idx="2">
                  <c:v>0.67719493333333336</c:v>
                </c:pt>
                <c:pt idx="3">
                  <c:v>0.64575000000000016</c:v>
                </c:pt>
                <c:pt idx="4">
                  <c:v>0.57400000000000018</c:v>
                </c:pt>
                <c:pt idx="5">
                  <c:v>0.51660000000000017</c:v>
                </c:pt>
                <c:pt idx="6">
                  <c:v>0.46963636363636374</c:v>
                </c:pt>
                <c:pt idx="7">
                  <c:v>0.43050000000000005</c:v>
                </c:pt>
                <c:pt idx="8">
                  <c:v>0.39738461538461539</c:v>
                </c:pt>
                <c:pt idx="9">
                  <c:v>0.36899999999999999</c:v>
                </c:pt>
                <c:pt idx="10">
                  <c:v>0.34439999999999998</c:v>
                </c:pt>
                <c:pt idx="11">
                  <c:v>0.32287499999999997</c:v>
                </c:pt>
                <c:pt idx="12">
                  <c:v>0.30388235294117644</c:v>
                </c:pt>
                <c:pt idx="13">
                  <c:v>0.28699999999999998</c:v>
                </c:pt>
                <c:pt idx="14">
                  <c:v>0.27189473684210519</c:v>
                </c:pt>
                <c:pt idx="15">
                  <c:v>0.25829999999999997</c:v>
                </c:pt>
                <c:pt idx="16">
                  <c:v>0.24599999999999997</c:v>
                </c:pt>
                <c:pt idx="17">
                  <c:v>0.23481818181818179</c:v>
                </c:pt>
                <c:pt idx="18">
                  <c:v>0.22460869565217387</c:v>
                </c:pt>
                <c:pt idx="19">
                  <c:v>0.20663999999999996</c:v>
                </c:pt>
                <c:pt idx="20">
                  <c:v>0.19133333333333327</c:v>
                </c:pt>
                <c:pt idx="21">
                  <c:v>0.17813793103448269</c:v>
                </c:pt>
                <c:pt idx="22">
                  <c:v>0.16664516129032253</c:v>
                </c:pt>
                <c:pt idx="23">
                  <c:v>0.15654545454545449</c:v>
                </c:pt>
                <c:pt idx="24">
                  <c:v>0.14759999999999995</c:v>
                </c:pt>
                <c:pt idx="25">
                  <c:v>0.13962162162162156</c:v>
                </c:pt>
                <c:pt idx="26">
                  <c:v>0.13246153846153841</c:v>
                </c:pt>
                <c:pt idx="27">
                  <c:v>0.12599999999999995</c:v>
                </c:pt>
                <c:pt idx="28">
                  <c:v>0.12013953488372088</c:v>
                </c:pt>
                <c:pt idx="29">
                  <c:v>0.11479999999999994</c:v>
                </c:pt>
                <c:pt idx="30">
                  <c:v>0.10991489361702123</c:v>
                </c:pt>
                <c:pt idx="31">
                  <c:v>0.10542857142857137</c:v>
                </c:pt>
                <c:pt idx="32">
                  <c:v>0.10129411764705877</c:v>
                </c:pt>
                <c:pt idx="33">
                  <c:v>9.7471698113207494E-2</c:v>
                </c:pt>
                <c:pt idx="34">
                  <c:v>9.3927272727272679E-2</c:v>
                </c:pt>
                <c:pt idx="35">
                  <c:v>9.0631578947368369E-2</c:v>
                </c:pt>
                <c:pt idx="36">
                  <c:v>8.7559322033898254E-2</c:v>
                </c:pt>
                <c:pt idx="37">
                  <c:v>8.4688524590163891E-2</c:v>
                </c:pt>
                <c:pt idx="38">
                  <c:v>8.1999999999999948E-2</c:v>
                </c:pt>
                <c:pt idx="39">
                  <c:v>7.9476923076923028E-2</c:v>
                </c:pt>
                <c:pt idx="40">
                  <c:v>7.7104477611940253E-2</c:v>
                </c:pt>
                <c:pt idx="41">
                  <c:v>7.4869565217391257E-2</c:v>
                </c:pt>
                <c:pt idx="42">
                  <c:v>7.2760563380281654E-2</c:v>
                </c:pt>
                <c:pt idx="43">
                  <c:v>7.0767123287671194E-2</c:v>
                </c:pt>
                <c:pt idx="44">
                  <c:v>6.8879999999999955E-2</c:v>
                </c:pt>
                <c:pt idx="45">
                  <c:v>6.7090909090909048E-2</c:v>
                </c:pt>
                <c:pt idx="46">
                  <c:v>6.5392405063291095E-2</c:v>
                </c:pt>
                <c:pt idx="47">
                  <c:v>6.3777777777777753E-2</c:v>
                </c:pt>
                <c:pt idx="48">
                  <c:v>6.224096385542166E-2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C52-4E78-936C-7E31B78AB5EF}"/>
            </c:ext>
          </c:extLst>
        </c:ser>
        <c:ser>
          <c:idx val="1"/>
          <c:order val="1"/>
          <c:tx>
            <c:v>Period</c:v>
          </c:tx>
          <c:spPr>
            <a:ln w="127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'Site Ground Motions'!$Q$21:$Q$23</c:f>
              <c:numCache>
                <c:formatCode>0.000\ "s"</c:formatCode>
                <c:ptCount val="3"/>
                <c:pt idx="0" formatCode="0.000\ &quot;g&quot;">
                  <c:v>0</c:v>
                </c:pt>
                <c:pt idx="1">
                  <c:v>0.4</c:v>
                </c:pt>
                <c:pt idx="2">
                  <c:v>0.4</c:v>
                </c:pt>
              </c:numCache>
            </c:numRef>
          </c:xVal>
          <c:yVal>
            <c:numRef>
              <c:f>'Site Ground Motions'!$R$21:$R$23</c:f>
              <c:numCache>
                <c:formatCode>0.000\ "g"</c:formatCode>
                <c:ptCount val="3"/>
                <c:pt idx="0">
                  <c:v>0.67719493333333336</c:v>
                </c:pt>
                <c:pt idx="1">
                  <c:v>0.67719493333333336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C52-4E78-936C-7E31B78AB5EF}"/>
            </c:ext>
          </c:extLst>
        </c:ser>
        <c:ser>
          <c:idx val="2"/>
          <c:order val="2"/>
          <c:tx>
            <c:v>Site Class D Exception</c:v>
          </c:tx>
          <c:marker>
            <c:symbol val="none"/>
          </c:marker>
          <c:xVal>
            <c:numRef>
              <c:f>'Site Ground Motions'!$N$21:$N$69</c:f>
              <c:numCache>
                <c:formatCode>0.000\ "s"</c:formatCode>
                <c:ptCount val="49"/>
                <c:pt idx="0">
                  <c:v>0</c:v>
                </c:pt>
                <c:pt idx="1">
                  <c:v>0.15257054492630584</c:v>
                </c:pt>
                <c:pt idx="2">
                  <c:v>1.1442790869472936</c:v>
                </c:pt>
                <c:pt idx="3">
                  <c:v>1.2000000000000002</c:v>
                </c:pt>
                <c:pt idx="4">
                  <c:v>1.3000000000000003</c:v>
                </c:pt>
                <c:pt idx="5">
                  <c:v>1.4000000000000004</c:v>
                </c:pt>
                <c:pt idx="6">
                  <c:v>1.5000000000000004</c:v>
                </c:pt>
                <c:pt idx="7">
                  <c:v>1.6000000000000005</c:v>
                </c:pt>
                <c:pt idx="8">
                  <c:v>1.7000000000000006</c:v>
                </c:pt>
                <c:pt idx="9">
                  <c:v>1.8000000000000007</c:v>
                </c:pt>
                <c:pt idx="10">
                  <c:v>1.9000000000000008</c:v>
                </c:pt>
                <c:pt idx="11">
                  <c:v>2.0000000000000009</c:v>
                </c:pt>
                <c:pt idx="12">
                  <c:v>2.100000000000001</c:v>
                </c:pt>
                <c:pt idx="13">
                  <c:v>2.2000000000000011</c:v>
                </c:pt>
                <c:pt idx="14">
                  <c:v>2.3000000000000012</c:v>
                </c:pt>
                <c:pt idx="15">
                  <c:v>2.4000000000000012</c:v>
                </c:pt>
                <c:pt idx="16">
                  <c:v>2.5000000000000013</c:v>
                </c:pt>
                <c:pt idx="17">
                  <c:v>2.6000000000000014</c:v>
                </c:pt>
                <c:pt idx="18">
                  <c:v>2.7000000000000015</c:v>
                </c:pt>
                <c:pt idx="19">
                  <c:v>2.9000000000000017</c:v>
                </c:pt>
                <c:pt idx="20">
                  <c:v>3.1000000000000019</c:v>
                </c:pt>
                <c:pt idx="21">
                  <c:v>3.300000000000002</c:v>
                </c:pt>
                <c:pt idx="22">
                  <c:v>3.5000000000000022</c:v>
                </c:pt>
                <c:pt idx="23">
                  <c:v>3.7000000000000024</c:v>
                </c:pt>
                <c:pt idx="24">
                  <c:v>3.9000000000000026</c:v>
                </c:pt>
                <c:pt idx="25">
                  <c:v>4.1000000000000023</c:v>
                </c:pt>
                <c:pt idx="26">
                  <c:v>4.3000000000000025</c:v>
                </c:pt>
                <c:pt idx="27">
                  <c:v>4.5000000000000027</c:v>
                </c:pt>
                <c:pt idx="28">
                  <c:v>4.7000000000000028</c:v>
                </c:pt>
                <c:pt idx="29">
                  <c:v>4.900000000000003</c:v>
                </c:pt>
                <c:pt idx="30">
                  <c:v>5.1000000000000032</c:v>
                </c:pt>
                <c:pt idx="31">
                  <c:v>5.3000000000000034</c:v>
                </c:pt>
                <c:pt idx="32">
                  <c:v>5.5000000000000036</c:v>
                </c:pt>
                <c:pt idx="33">
                  <c:v>5.7000000000000037</c:v>
                </c:pt>
                <c:pt idx="34">
                  <c:v>5.9000000000000039</c:v>
                </c:pt>
                <c:pt idx="35">
                  <c:v>6.1000000000000041</c:v>
                </c:pt>
                <c:pt idx="36">
                  <c:v>6.3000000000000043</c:v>
                </c:pt>
                <c:pt idx="37">
                  <c:v>6.5000000000000044</c:v>
                </c:pt>
                <c:pt idx="38">
                  <c:v>6.7000000000000046</c:v>
                </c:pt>
                <c:pt idx="39">
                  <c:v>6.9000000000000048</c:v>
                </c:pt>
                <c:pt idx="40">
                  <c:v>7.100000000000005</c:v>
                </c:pt>
                <c:pt idx="41">
                  <c:v>7.3000000000000052</c:v>
                </c:pt>
                <c:pt idx="42">
                  <c:v>7.5000000000000053</c:v>
                </c:pt>
                <c:pt idx="43">
                  <c:v>7.7000000000000055</c:v>
                </c:pt>
                <c:pt idx="44">
                  <c:v>7.9000000000000057</c:v>
                </c:pt>
                <c:pt idx="45">
                  <c:v>8.100000000000005</c:v>
                </c:pt>
                <c:pt idx="46">
                  <c:v>8.3000000000000043</c:v>
                </c:pt>
                <c:pt idx="47">
                  <c:v>8.5000000000000036</c:v>
                </c:pt>
                <c:pt idx="48">
                  <c:v>8.7000000000000028</c:v>
                </c:pt>
              </c:numCache>
            </c:numRef>
          </c:xVal>
          <c:yVal>
            <c:numRef>
              <c:f>'Site Ground Motions'!$O$21:$O$69</c:f>
              <c:numCache>
                <c:formatCode>0.000\ "g"</c:formatCode>
                <c:ptCount val="49"/>
                <c:pt idx="0">
                  <c:v>0.27087797333333336</c:v>
                </c:pt>
                <c:pt idx="1">
                  <c:v>0.67719493333333336</c:v>
                </c:pt>
                <c:pt idx="2">
                  <c:v>0.67719493333333336</c:v>
                </c:pt>
                <c:pt idx="3">
                  <c:v>0.64575000000000005</c:v>
                </c:pt>
                <c:pt idx="4">
                  <c:v>0.59607692307692295</c:v>
                </c:pt>
                <c:pt idx="5">
                  <c:v>0.55349999999999988</c:v>
                </c:pt>
                <c:pt idx="6">
                  <c:v>0.51659999999999995</c:v>
                </c:pt>
                <c:pt idx="7">
                  <c:v>0.48431249999999987</c:v>
                </c:pt>
                <c:pt idx="8">
                  <c:v>0.45582352941176457</c:v>
                </c:pt>
                <c:pt idx="9">
                  <c:v>0.43049999999999988</c:v>
                </c:pt>
                <c:pt idx="10">
                  <c:v>0.40784210526315778</c:v>
                </c:pt>
                <c:pt idx="11">
                  <c:v>0.38744999999999985</c:v>
                </c:pt>
                <c:pt idx="12">
                  <c:v>0.36899999999999988</c:v>
                </c:pt>
                <c:pt idx="13">
                  <c:v>0.35222727272727261</c:v>
                </c:pt>
                <c:pt idx="14">
                  <c:v>0.33691304347826079</c:v>
                </c:pt>
                <c:pt idx="15">
                  <c:v>0.32287499999999986</c:v>
                </c:pt>
                <c:pt idx="16">
                  <c:v>0.30995999999999985</c:v>
                </c:pt>
                <c:pt idx="17">
                  <c:v>0.29803846153846142</c:v>
                </c:pt>
                <c:pt idx="18">
                  <c:v>0.28699999999999987</c:v>
                </c:pt>
                <c:pt idx="19">
                  <c:v>0.26720689655172403</c:v>
                </c:pt>
                <c:pt idx="20">
                  <c:v>0.24996774193548377</c:v>
                </c:pt>
                <c:pt idx="21">
                  <c:v>0.2348181818181817</c:v>
                </c:pt>
                <c:pt idx="22">
                  <c:v>0.22139999999999987</c:v>
                </c:pt>
                <c:pt idx="23">
                  <c:v>0.20943243243243231</c:v>
                </c:pt>
                <c:pt idx="24">
                  <c:v>0.19869230769230756</c:v>
                </c:pt>
                <c:pt idx="25">
                  <c:v>0.18899999999999992</c:v>
                </c:pt>
                <c:pt idx="26">
                  <c:v>0.18020930232558133</c:v>
                </c:pt>
                <c:pt idx="27">
                  <c:v>0.17219999999999991</c:v>
                </c:pt>
                <c:pt idx="28">
                  <c:v>0.16487234042553184</c:v>
                </c:pt>
                <c:pt idx="29">
                  <c:v>0.15814285714285706</c:v>
                </c:pt>
                <c:pt idx="30">
                  <c:v>0.15194117647058816</c:v>
                </c:pt>
                <c:pt idx="31">
                  <c:v>0.14620754716981124</c:v>
                </c:pt>
                <c:pt idx="32">
                  <c:v>0.14089090909090901</c:v>
                </c:pt>
                <c:pt idx="33">
                  <c:v>0.13594736842105254</c:v>
                </c:pt>
                <c:pt idx="34">
                  <c:v>0.13133898305084737</c:v>
                </c:pt>
                <c:pt idx="35">
                  <c:v>0.12703278688524583</c:v>
                </c:pt>
                <c:pt idx="36">
                  <c:v>0.12299999999999991</c:v>
                </c:pt>
                <c:pt idx="37">
                  <c:v>0.11921538461538454</c:v>
                </c:pt>
                <c:pt idx="38">
                  <c:v>0.11565671641791038</c:v>
                </c:pt>
                <c:pt idx="39">
                  <c:v>0.11230434782608689</c:v>
                </c:pt>
                <c:pt idx="40">
                  <c:v>0.10914084507042249</c:v>
                </c:pt>
                <c:pt idx="41">
                  <c:v>0.10615068493150678</c:v>
                </c:pt>
                <c:pt idx="42">
                  <c:v>0.10331999999999994</c:v>
                </c:pt>
                <c:pt idx="43">
                  <c:v>0.10063636363636358</c:v>
                </c:pt>
                <c:pt idx="44">
                  <c:v>9.808860759493665E-2</c:v>
                </c:pt>
                <c:pt idx="45">
                  <c:v>9.5666666666666622E-2</c:v>
                </c:pt>
                <c:pt idx="46">
                  <c:v>9.3361445783132491E-2</c:v>
                </c:pt>
                <c:pt idx="47">
                  <c:v>9.1164705882352925E-2</c:v>
                </c:pt>
                <c:pt idx="48">
                  <c:v>8.9068965517241361E-2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C52-4E78-936C-7E31B78AB5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8423600"/>
        <c:axId val="928426400"/>
      </c:scatterChart>
      <c:valAx>
        <c:axId val="928423600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Period, T</a:t>
                </a:r>
              </a:p>
            </c:rich>
          </c:tx>
          <c:layout>
            <c:manualLayout>
              <c:xMode val="edge"/>
              <c:yMode val="edge"/>
              <c:x val="0.50000038875925212"/>
              <c:y val="0.90647482014389003"/>
            </c:manualLayout>
          </c:layout>
          <c:overlay val="0"/>
          <c:spPr>
            <a:noFill/>
            <a:ln w="25400">
              <a:noFill/>
            </a:ln>
          </c:spPr>
        </c:title>
        <c:numFmt formatCode="0.0\ &quot;s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928426400"/>
        <c:crosses val="autoZero"/>
        <c:crossBetween val="midCat"/>
      </c:valAx>
      <c:valAx>
        <c:axId val="928426400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9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Spectral Acceleration, Sa</a:t>
                </a:r>
              </a:p>
            </c:rich>
          </c:tx>
          <c:layout>
            <c:manualLayout>
              <c:xMode val="edge"/>
              <c:yMode val="edge"/>
              <c:x val="2.0718094979068732E-2"/>
              <c:y val="0.17772892574513202"/>
            </c:manualLayout>
          </c:layout>
          <c:overlay val="0"/>
          <c:spPr>
            <a:noFill/>
            <a:ln w="25400">
              <a:noFill/>
            </a:ln>
          </c:spPr>
        </c:title>
        <c:numFmt formatCode="0.0\ &quot;g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928423600"/>
        <c:crosses val="autoZero"/>
        <c:crossBetween val="midCat"/>
      </c:valAx>
      <c:spPr>
        <a:noFill/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411" r="0.75000000000000411" t="1" header="0.5" footer="0.5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SEISMIC BASE SHEAR (E.L.F.</a:t>
            </a:r>
            <a:r>
              <a:rPr lang="en-US" baseline="0"/>
              <a:t> PROCEDURE)</a:t>
            </a:r>
            <a:endParaRPr lang="en-US"/>
          </a:p>
        </c:rich>
      </c:tx>
      <c:layout>
        <c:manualLayout>
          <c:xMode val="edge"/>
          <c:yMode val="edge"/>
          <c:x val="0.30975877192982454"/>
          <c:y val="2.0499108734402853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486842105263191"/>
          <c:y val="9.3582887700534759E-2"/>
          <c:w val="0.79395999519667881"/>
          <c:h val="0.76437674136886735"/>
        </c:manualLayout>
      </c:layout>
      <c:scatterChart>
        <c:scatterStyle val="lineMarker"/>
        <c:varyColors val="0"/>
        <c:ser>
          <c:idx val="0"/>
          <c:order val="0"/>
          <c:spPr>
            <a:ln w="31750">
              <a:solidFill>
                <a:srgbClr val="FF0000"/>
              </a:solidFill>
              <a:prstDash val="dash"/>
            </a:ln>
          </c:spPr>
          <c:marker>
            <c:symbol val="none"/>
          </c:marker>
          <c:xVal>
            <c:numRef>
              <c:f>'Equivalent Lateral Forces'!$O$23:$O$58</c:f>
              <c:numCache>
                <c:formatCode>0.000\ "s"</c:formatCode>
                <c:ptCount val="36"/>
                <c:pt idx="0">
                  <c:v>0</c:v>
                </c:pt>
                <c:pt idx="1">
                  <c:v>0.15257054492630584</c:v>
                </c:pt>
                <c:pt idx="2">
                  <c:v>1.1442790869472936</c:v>
                </c:pt>
                <c:pt idx="3">
                  <c:v>1.2000000000000002</c:v>
                </c:pt>
                <c:pt idx="4">
                  <c:v>1.3000000000000003</c:v>
                </c:pt>
                <c:pt idx="5">
                  <c:v>1.4000000000000004</c:v>
                </c:pt>
                <c:pt idx="6">
                  <c:v>1.5000000000000004</c:v>
                </c:pt>
                <c:pt idx="7">
                  <c:v>1.6000000000000005</c:v>
                </c:pt>
                <c:pt idx="8">
                  <c:v>1.7000000000000006</c:v>
                </c:pt>
                <c:pt idx="9">
                  <c:v>1.8000000000000007</c:v>
                </c:pt>
                <c:pt idx="10">
                  <c:v>1.9000000000000008</c:v>
                </c:pt>
                <c:pt idx="11">
                  <c:v>2.0000000000000009</c:v>
                </c:pt>
                <c:pt idx="12">
                  <c:v>2.100000000000001</c:v>
                </c:pt>
                <c:pt idx="13">
                  <c:v>2.2000000000000011</c:v>
                </c:pt>
                <c:pt idx="14">
                  <c:v>2.3000000000000012</c:v>
                </c:pt>
                <c:pt idx="15">
                  <c:v>2.4000000000000012</c:v>
                </c:pt>
                <c:pt idx="16">
                  <c:v>2.5000000000000013</c:v>
                </c:pt>
                <c:pt idx="17">
                  <c:v>2.6000000000000014</c:v>
                </c:pt>
                <c:pt idx="18">
                  <c:v>2.7000000000000015</c:v>
                </c:pt>
                <c:pt idx="19">
                  <c:v>2.8000000000000016</c:v>
                </c:pt>
                <c:pt idx="20">
                  <c:v>2.9000000000000017</c:v>
                </c:pt>
                <c:pt idx="21">
                  <c:v>3.0000000000000018</c:v>
                </c:pt>
                <c:pt idx="22">
                  <c:v>3.1000000000000019</c:v>
                </c:pt>
                <c:pt idx="23">
                  <c:v>3.200000000000002</c:v>
                </c:pt>
                <c:pt idx="24">
                  <c:v>3.300000000000002</c:v>
                </c:pt>
                <c:pt idx="25">
                  <c:v>3.4000000000000021</c:v>
                </c:pt>
                <c:pt idx="26">
                  <c:v>3.5000000000000022</c:v>
                </c:pt>
                <c:pt idx="27">
                  <c:v>3.6000000000000023</c:v>
                </c:pt>
                <c:pt idx="28">
                  <c:v>3.7000000000000024</c:v>
                </c:pt>
                <c:pt idx="29">
                  <c:v>3.8000000000000025</c:v>
                </c:pt>
                <c:pt idx="30">
                  <c:v>3.9000000000000026</c:v>
                </c:pt>
                <c:pt idx="31">
                  <c:v>4.0000000000000027</c:v>
                </c:pt>
                <c:pt idx="32">
                  <c:v>4.1000000000000023</c:v>
                </c:pt>
                <c:pt idx="33">
                  <c:v>4.200000000000002</c:v>
                </c:pt>
                <c:pt idx="34">
                  <c:v>4.3000000000000016</c:v>
                </c:pt>
                <c:pt idx="35">
                  <c:v>4.4000000000000012</c:v>
                </c:pt>
              </c:numCache>
            </c:numRef>
          </c:xVal>
          <c:yVal>
            <c:numRef>
              <c:f>'Equivalent Lateral Forces'!$Q$23:$Q$58</c:f>
              <c:numCache>
                <c:formatCode>0.000</c:formatCode>
                <c:ptCount val="36"/>
                <c:pt idx="0">
                  <c:v>0.10418383589743591</c:v>
                </c:pt>
                <c:pt idx="1">
                  <c:v>0.10418383589743591</c:v>
                </c:pt>
                <c:pt idx="2">
                  <c:v>0.10418383589743591</c:v>
                </c:pt>
                <c:pt idx="3">
                  <c:v>9.9346153846153848E-2</c:v>
                </c:pt>
                <c:pt idx="4">
                  <c:v>9.17041420118343E-2</c:v>
                </c:pt>
                <c:pt idx="5">
                  <c:v>8.5153846153846136E-2</c:v>
                </c:pt>
                <c:pt idx="6">
                  <c:v>7.947692307692307E-2</c:v>
                </c:pt>
                <c:pt idx="7">
                  <c:v>7.4509615384615369E-2</c:v>
                </c:pt>
                <c:pt idx="8">
                  <c:v>7.0126696832579161E-2</c:v>
                </c:pt>
                <c:pt idx="9">
                  <c:v>6.6230769230769218E-2</c:v>
                </c:pt>
                <c:pt idx="10">
                  <c:v>6.2744939271255046E-2</c:v>
                </c:pt>
                <c:pt idx="11">
                  <c:v>5.9607692307692285E-2</c:v>
                </c:pt>
                <c:pt idx="12">
                  <c:v>5.6769230769230752E-2</c:v>
                </c:pt>
                <c:pt idx="13">
                  <c:v>5.4188811188811171E-2</c:v>
                </c:pt>
                <c:pt idx="14">
                  <c:v>5.1832775919732427E-2</c:v>
                </c:pt>
                <c:pt idx="15">
                  <c:v>4.9673076923076903E-2</c:v>
                </c:pt>
                <c:pt idx="16">
                  <c:v>4.7686153846153823E-2</c:v>
                </c:pt>
                <c:pt idx="17">
                  <c:v>4.5852071005917143E-2</c:v>
                </c:pt>
                <c:pt idx="18">
                  <c:v>4.4153846153846134E-2</c:v>
                </c:pt>
                <c:pt idx="19">
                  <c:v>4.1108753315649851E-2</c:v>
                </c:pt>
                <c:pt idx="20">
                  <c:v>3.8456575682382116E-2</c:v>
                </c:pt>
                <c:pt idx="21">
                  <c:v>3.6125874125874105E-2</c:v>
                </c:pt>
                <c:pt idx="22">
                  <c:v>3.4061538461538442E-2</c:v>
                </c:pt>
                <c:pt idx="23">
                  <c:v>3.2220374220374201E-2</c:v>
                </c:pt>
                <c:pt idx="24">
                  <c:v>3.0568047337278085E-2</c:v>
                </c:pt>
                <c:pt idx="25">
                  <c:v>2.9076923076923063E-2</c:v>
                </c:pt>
                <c:pt idx="26">
                  <c:v>2.7724508050089434E-2</c:v>
                </c:pt>
                <c:pt idx="27">
                  <c:v>2.649230769230768E-2</c:v>
                </c:pt>
                <c:pt idx="28">
                  <c:v>2.536497545008182E-2</c:v>
                </c:pt>
                <c:pt idx="29">
                  <c:v>2.4329670329670317E-2</c:v>
                </c:pt>
                <c:pt idx="30">
                  <c:v>2.3375565610859718E-2</c:v>
                </c:pt>
                <c:pt idx="31">
                  <c:v>2.2493468795355576E-2</c:v>
                </c:pt>
                <c:pt idx="32">
                  <c:v>2.1675524475524462E-2</c:v>
                </c:pt>
                <c:pt idx="33">
                  <c:v>2.0914979757085006E-2</c:v>
                </c:pt>
                <c:pt idx="34">
                  <c:v>2.0205997392438058E-2</c:v>
                </c:pt>
                <c:pt idx="35">
                  <c:v>1.9543505674653204E-2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DF6-4536-AD13-0E1E7CEF1308}"/>
            </c:ext>
          </c:extLst>
        </c:ser>
        <c:ser>
          <c:idx val="3"/>
          <c:order val="1"/>
          <c:tx>
            <c:v>Minimum</c:v>
          </c:tx>
          <c:spPr>
            <a:ln w="25400">
              <a:solidFill>
                <a:srgbClr val="FF0000"/>
              </a:solidFill>
              <a:prstDash val="dashDot"/>
            </a:ln>
          </c:spPr>
          <c:marker>
            <c:symbol val="none"/>
          </c:marker>
          <c:xVal>
            <c:numRef>
              <c:f>'Equivalent Lateral Forces'!$V$15:$V$16</c:f>
              <c:numCache>
                <c:formatCode>0.000\ "s"</c:formatCode>
                <c:ptCount val="2"/>
                <c:pt idx="0">
                  <c:v>0</c:v>
                </c:pt>
                <c:pt idx="1">
                  <c:v>4.4000000000000012</c:v>
                </c:pt>
              </c:numCache>
            </c:numRef>
          </c:xVal>
          <c:yVal>
            <c:numRef>
              <c:f>'Equivalent Lateral Forces'!$X$15:$X$16</c:f>
              <c:numCache>
                <c:formatCode>0.0000</c:formatCode>
                <c:ptCount val="2"/>
                <c:pt idx="0">
                  <c:v>2.9796577066666666E-2</c:v>
                </c:pt>
                <c:pt idx="1">
                  <c:v>2.9796577066666666E-2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DF6-4536-AD13-0E1E7CEF1308}"/>
            </c:ext>
          </c:extLst>
        </c:ser>
        <c:ser>
          <c:idx val="2"/>
          <c:order val="2"/>
          <c:spPr>
            <a:ln w="41275">
              <a:solidFill>
                <a:srgbClr val="002060"/>
              </a:solidFill>
            </a:ln>
          </c:spPr>
          <c:marker>
            <c:symbol val="none"/>
          </c:marker>
          <c:xVal>
            <c:numRef>
              <c:f>'Equivalent Lateral Forces'!$O$23:$O$58</c:f>
              <c:numCache>
                <c:formatCode>0.000\ "s"</c:formatCode>
                <c:ptCount val="36"/>
                <c:pt idx="0">
                  <c:v>0</c:v>
                </c:pt>
                <c:pt idx="1">
                  <c:v>0.15257054492630584</c:v>
                </c:pt>
                <c:pt idx="2">
                  <c:v>1.1442790869472936</c:v>
                </c:pt>
                <c:pt idx="3">
                  <c:v>1.2000000000000002</c:v>
                </c:pt>
                <c:pt idx="4">
                  <c:v>1.3000000000000003</c:v>
                </c:pt>
                <c:pt idx="5">
                  <c:v>1.4000000000000004</c:v>
                </c:pt>
                <c:pt idx="6">
                  <c:v>1.5000000000000004</c:v>
                </c:pt>
                <c:pt idx="7">
                  <c:v>1.6000000000000005</c:v>
                </c:pt>
                <c:pt idx="8">
                  <c:v>1.7000000000000006</c:v>
                </c:pt>
                <c:pt idx="9">
                  <c:v>1.8000000000000007</c:v>
                </c:pt>
                <c:pt idx="10">
                  <c:v>1.9000000000000008</c:v>
                </c:pt>
                <c:pt idx="11">
                  <c:v>2.0000000000000009</c:v>
                </c:pt>
                <c:pt idx="12">
                  <c:v>2.100000000000001</c:v>
                </c:pt>
                <c:pt idx="13">
                  <c:v>2.2000000000000011</c:v>
                </c:pt>
                <c:pt idx="14">
                  <c:v>2.3000000000000012</c:v>
                </c:pt>
                <c:pt idx="15">
                  <c:v>2.4000000000000012</c:v>
                </c:pt>
                <c:pt idx="16">
                  <c:v>2.5000000000000013</c:v>
                </c:pt>
                <c:pt idx="17">
                  <c:v>2.6000000000000014</c:v>
                </c:pt>
                <c:pt idx="18">
                  <c:v>2.7000000000000015</c:v>
                </c:pt>
                <c:pt idx="19">
                  <c:v>2.8000000000000016</c:v>
                </c:pt>
                <c:pt idx="20">
                  <c:v>2.9000000000000017</c:v>
                </c:pt>
                <c:pt idx="21">
                  <c:v>3.0000000000000018</c:v>
                </c:pt>
                <c:pt idx="22">
                  <c:v>3.1000000000000019</c:v>
                </c:pt>
                <c:pt idx="23">
                  <c:v>3.200000000000002</c:v>
                </c:pt>
                <c:pt idx="24">
                  <c:v>3.300000000000002</c:v>
                </c:pt>
                <c:pt idx="25">
                  <c:v>3.4000000000000021</c:v>
                </c:pt>
                <c:pt idx="26">
                  <c:v>3.5000000000000022</c:v>
                </c:pt>
                <c:pt idx="27">
                  <c:v>3.6000000000000023</c:v>
                </c:pt>
                <c:pt idx="28">
                  <c:v>3.7000000000000024</c:v>
                </c:pt>
                <c:pt idx="29">
                  <c:v>3.8000000000000025</c:v>
                </c:pt>
                <c:pt idx="30">
                  <c:v>3.9000000000000026</c:v>
                </c:pt>
                <c:pt idx="31">
                  <c:v>4.0000000000000027</c:v>
                </c:pt>
                <c:pt idx="32">
                  <c:v>4.1000000000000023</c:v>
                </c:pt>
                <c:pt idx="33">
                  <c:v>4.200000000000002</c:v>
                </c:pt>
                <c:pt idx="34">
                  <c:v>4.3000000000000016</c:v>
                </c:pt>
                <c:pt idx="35">
                  <c:v>4.4000000000000012</c:v>
                </c:pt>
              </c:numCache>
            </c:numRef>
          </c:xVal>
          <c:yVal>
            <c:numRef>
              <c:f>'Equivalent Lateral Forces'!$W$23:$W$58</c:f>
              <c:numCache>
                <c:formatCode>0.000</c:formatCode>
                <c:ptCount val="36"/>
                <c:pt idx="0">
                  <c:v>0.10418383589743591</c:v>
                </c:pt>
                <c:pt idx="1">
                  <c:v>0.10418383589743591</c:v>
                </c:pt>
                <c:pt idx="2">
                  <c:v>0.10418383589743591</c:v>
                </c:pt>
                <c:pt idx="3">
                  <c:v>9.9346153846153848E-2</c:v>
                </c:pt>
                <c:pt idx="4">
                  <c:v>9.1704142011834314E-2</c:v>
                </c:pt>
                <c:pt idx="5">
                  <c:v>8.5153846153846149E-2</c:v>
                </c:pt>
                <c:pt idx="6">
                  <c:v>7.947692307692307E-2</c:v>
                </c:pt>
                <c:pt idx="7">
                  <c:v>7.4509615384615369E-2</c:v>
                </c:pt>
                <c:pt idx="8">
                  <c:v>7.0126696832579175E-2</c:v>
                </c:pt>
                <c:pt idx="9">
                  <c:v>6.6230769230769218E-2</c:v>
                </c:pt>
                <c:pt idx="10">
                  <c:v>6.2744939271255046E-2</c:v>
                </c:pt>
                <c:pt idx="11">
                  <c:v>5.9607692307692292E-2</c:v>
                </c:pt>
                <c:pt idx="12">
                  <c:v>5.6769230769230752E-2</c:v>
                </c:pt>
                <c:pt idx="13">
                  <c:v>5.4188811188811171E-2</c:v>
                </c:pt>
                <c:pt idx="14">
                  <c:v>5.1832775919732427E-2</c:v>
                </c:pt>
                <c:pt idx="15">
                  <c:v>4.967307692307691E-2</c:v>
                </c:pt>
                <c:pt idx="16">
                  <c:v>4.768615384615383E-2</c:v>
                </c:pt>
                <c:pt idx="17">
                  <c:v>4.5852071005917143E-2</c:v>
                </c:pt>
                <c:pt idx="18">
                  <c:v>4.4153846153846134E-2</c:v>
                </c:pt>
                <c:pt idx="19">
                  <c:v>4.2576923076923061E-2</c:v>
                </c:pt>
                <c:pt idx="20">
                  <c:v>4.1108753315649851E-2</c:v>
                </c:pt>
                <c:pt idx="21">
                  <c:v>3.9738461538461528E-2</c:v>
                </c:pt>
                <c:pt idx="22">
                  <c:v>3.8456575682382116E-2</c:v>
                </c:pt>
                <c:pt idx="23">
                  <c:v>3.7254807692307677E-2</c:v>
                </c:pt>
                <c:pt idx="24">
                  <c:v>3.6125874125874105E-2</c:v>
                </c:pt>
                <c:pt idx="25">
                  <c:v>3.506334841628958E-2</c:v>
                </c:pt>
                <c:pt idx="26">
                  <c:v>3.4061538461538449E-2</c:v>
                </c:pt>
                <c:pt idx="27">
                  <c:v>3.3115384615384602E-2</c:v>
                </c:pt>
                <c:pt idx="28">
                  <c:v>3.2220374220374208E-2</c:v>
                </c:pt>
                <c:pt idx="29">
                  <c:v>3.1372469635627516E-2</c:v>
                </c:pt>
                <c:pt idx="30">
                  <c:v>3.0568047337278088E-2</c:v>
                </c:pt>
                <c:pt idx="31">
                  <c:v>2.9803846153846139E-2</c:v>
                </c:pt>
                <c:pt idx="32">
                  <c:v>2.9796577066666666E-2</c:v>
                </c:pt>
                <c:pt idx="33">
                  <c:v>2.9796577066666666E-2</c:v>
                </c:pt>
                <c:pt idx="34">
                  <c:v>2.9796577066666666E-2</c:v>
                </c:pt>
                <c:pt idx="35">
                  <c:v>2.9796577066666666E-2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DF6-4536-AD13-0E1E7CEF1308}"/>
            </c:ext>
          </c:extLst>
        </c:ser>
        <c:ser>
          <c:idx val="1"/>
          <c:order val="3"/>
          <c:tx>
            <c:v>Period</c:v>
          </c:tx>
          <c:spPr>
            <a:ln w="25400">
              <a:solidFill>
                <a:srgbClr val="FF0000"/>
              </a:solidFill>
              <a:prstDash val="sysDash"/>
            </a:ln>
          </c:spPr>
          <c:marker>
            <c:symbol val="none"/>
          </c:marker>
          <c:xVal>
            <c:numRef>
              <c:f>'Equivalent Lateral Forces'!$V$11:$V$13</c:f>
              <c:numCache>
                <c:formatCode>0.000\ "s"</c:formatCode>
                <c:ptCount val="3"/>
                <c:pt idx="0">
                  <c:v>0</c:v>
                </c:pt>
                <c:pt idx="1">
                  <c:v>0.4</c:v>
                </c:pt>
                <c:pt idx="2">
                  <c:v>0.4</c:v>
                </c:pt>
              </c:numCache>
            </c:numRef>
          </c:xVal>
          <c:yVal>
            <c:numRef>
              <c:f>'Equivalent Lateral Forces'!$X$11:$X$13</c:f>
              <c:numCache>
                <c:formatCode>0.0000</c:formatCode>
                <c:ptCount val="3"/>
                <c:pt idx="0">
                  <c:v>0.10418383589743591</c:v>
                </c:pt>
                <c:pt idx="1">
                  <c:v>0.10418383589743591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DF6-4536-AD13-0E1E7CEF1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0399184"/>
        <c:axId val="870399744"/>
      </c:scatterChart>
      <c:valAx>
        <c:axId val="87039918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Period, T</a:t>
                </a:r>
              </a:p>
            </c:rich>
          </c:tx>
          <c:layout>
            <c:manualLayout>
              <c:xMode val="edge"/>
              <c:yMode val="edge"/>
              <c:x val="0.46546052631578982"/>
              <c:y val="0.92245989304813358"/>
            </c:manualLayout>
          </c:layout>
          <c:overlay val="0"/>
          <c:spPr>
            <a:noFill/>
            <a:ln w="25400">
              <a:noFill/>
            </a:ln>
          </c:spPr>
        </c:title>
        <c:numFmt formatCode="0.00\ &quot;s&quot;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70399744"/>
        <c:crosses val="autoZero"/>
        <c:crossBetween val="midCat"/>
      </c:valAx>
      <c:valAx>
        <c:axId val="870399744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Sesimc Response Coefficient, Cs</a:t>
                </a:r>
              </a:p>
            </c:rich>
          </c:tx>
          <c:layout>
            <c:manualLayout>
              <c:xMode val="edge"/>
              <c:yMode val="edge"/>
              <c:x val="1.973684210526316E-2"/>
              <c:y val="0.24064171122994638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870399184"/>
        <c:crosses val="autoZero"/>
        <c:crossBetween val="midCat"/>
      </c:valAx>
      <c:spPr>
        <a:noFill/>
        <a:ln w="12700">
          <a:solidFill>
            <a:srgbClr val="808080"/>
          </a:solidFill>
          <a:prstDash val="solid"/>
        </a:ln>
      </c:spPr>
    </c:plotArea>
    <c:legend>
      <c:legendPos val="r"/>
      <c:layout>
        <c:manualLayout>
          <c:xMode val="edge"/>
          <c:yMode val="edge"/>
          <c:x val="0.54037037037037028"/>
          <c:y val="0.13567716535433072"/>
          <c:w val="0.22869281045751633"/>
          <c:h val="0.26251120533010297"/>
        </c:manualLayout>
      </c:layout>
      <c:overlay val="0"/>
      <c:spPr>
        <a:solidFill>
          <a:schemeClr val="bg1"/>
        </a:solidFill>
      </c:sp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000000000000411" r="0.75000000000000411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169251</xdr:colOff>
      <xdr:row>39</xdr:row>
      <xdr:rowOff>90365</xdr:rowOff>
    </xdr:from>
    <xdr:to>
      <xdr:col>9</xdr:col>
      <xdr:colOff>635976</xdr:colOff>
      <xdr:row>56</xdr:row>
      <xdr:rowOff>114300</xdr:rowOff>
    </xdr:to>
    <xdr:graphicFrame macro="">
      <xdr:nvGraphicFramePr>
        <xdr:cNvPr id="1025" name="Chart 1">
          <a:extLs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314325</xdr:colOff>
      <xdr:row>0</xdr:row>
      <xdr:rowOff>76200</xdr:rowOff>
    </xdr:from>
    <xdr:to>
      <xdr:col>1</xdr:col>
      <xdr:colOff>596994</xdr:colOff>
      <xdr:row>3</xdr:row>
      <xdr:rowOff>133598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B4B3256-1700-4A6E-BC18-095749C73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325" y="76200"/>
          <a:ext cx="1044669" cy="62889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201145</xdr:colOff>
      <xdr:row>0</xdr:row>
      <xdr:rowOff>66674</xdr:rowOff>
    </xdr:from>
    <xdr:to>
      <xdr:col>1</xdr:col>
      <xdr:colOff>523054</xdr:colOff>
      <xdr:row>3</xdr:row>
      <xdr:rowOff>150382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582A79-C71D-4588-A963-AD1F31157C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1145" y="66674"/>
          <a:ext cx="1083909" cy="6552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35</xdr:row>
      <xdr:rowOff>57150</xdr:rowOff>
    </xdr:from>
    <xdr:to>
      <xdr:col>11</xdr:col>
      <xdr:colOff>609600</xdr:colOff>
      <xdr:row>55</xdr:row>
      <xdr:rowOff>120650</xdr:rowOff>
    </xdr:to>
    <xdr:graphicFrame macro="">
      <xdr:nvGraphicFramePr>
        <xdr:cNvPr id="2050" name="Chart 2">
          <a:extLst>
            <a:ext uri="{FF2B5EF4-FFF2-40B4-BE49-F238E27FC236}">
              <a16:creationId xmlns:a16="http://schemas.microsoft.com/office/drawing/2014/main" id="{00000000-0008-0000-0200-000002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</xdr:colOff>
      <xdr:row>31</xdr:row>
      <xdr:rowOff>24129</xdr:rowOff>
    </xdr:from>
    <xdr:to>
      <xdr:col>4</xdr:col>
      <xdr:colOff>334538</xdr:colOff>
      <xdr:row>31</xdr:row>
      <xdr:rowOff>167270</xdr:rowOff>
    </xdr:to>
    <xdr:sp macro="" textlink="">
      <xdr:nvSpPr>
        <xdr:cNvPr id="2" name="Right Arrow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 bwMode="auto">
        <a:xfrm>
          <a:off x="2183781" y="4600775"/>
          <a:ext cx="334537" cy="143141"/>
        </a:xfrm>
        <a:prstGeom prst="rightArrow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wrap="square" lIns="18288" tIns="0" rIns="0" bIns="0" rtlCol="0" anchor="t" upright="1"/>
        <a:lstStyle/>
        <a:p>
          <a:pPr algn="l"/>
          <a:endParaRPr lang="en-US" sz="1100"/>
        </a:p>
      </xdr:txBody>
    </xdr:sp>
    <xdr:clientData/>
  </xdr:twoCellAnchor>
  <xdr:twoCellAnchor editAs="absolute">
    <xdr:from>
      <xdr:col>0</xdr:col>
      <xdr:colOff>323850</xdr:colOff>
      <xdr:row>0</xdr:row>
      <xdr:rowOff>66675</xdr:rowOff>
    </xdr:from>
    <xdr:to>
      <xdr:col>2</xdr:col>
      <xdr:colOff>254487</xdr:colOff>
      <xdr:row>3</xdr:row>
      <xdr:rowOff>141710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10172DE-AF36-4777-9EB5-000886523B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3850" y="66675"/>
          <a:ext cx="1073637" cy="64653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295275</xdr:colOff>
      <xdr:row>0</xdr:row>
      <xdr:rowOff>57150</xdr:rowOff>
    </xdr:from>
    <xdr:to>
      <xdr:col>2</xdr:col>
      <xdr:colOff>231774</xdr:colOff>
      <xdr:row>3</xdr:row>
      <xdr:rowOff>129987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C47C8A-D843-42BA-9B26-779B6FCDFB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275" y="57150"/>
          <a:ext cx="1079499" cy="64433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142875</xdr:colOff>
      <xdr:row>0</xdr:row>
      <xdr:rowOff>66675</xdr:rowOff>
    </xdr:from>
    <xdr:to>
      <xdr:col>1</xdr:col>
      <xdr:colOff>454512</xdr:colOff>
      <xdr:row>3</xdr:row>
      <xdr:rowOff>141710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C31DBF-6DC2-4DC7-AD3E-045FAA84F1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66675"/>
          <a:ext cx="1073637" cy="6465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K:\2018\10021800475\Engineering\_CALCS\G1%20-%20AUX%20GYM\ASCE%2041-17%20Seismic%20Forces%20-%20Building%20G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ite Ground Motions"/>
      <sheetName val="Site Coefficients (BSE-2N)"/>
      <sheetName val="Site Coefficients (BSE-2E)"/>
      <sheetName val="Equivalent Lateral Forces"/>
      <sheetName val="Vertical Distribution"/>
      <sheetName val="Diaphragm Forces"/>
    </sheetNames>
    <sheetDataSet>
      <sheetData sheetId="0"/>
      <sheetData sheetId="1">
        <row r="7">
          <cell r="K7">
            <v>0</v>
          </cell>
          <cell r="M7">
            <v>0</v>
          </cell>
          <cell r="O7">
            <v>0</v>
          </cell>
          <cell r="P7">
            <v>1.3</v>
          </cell>
          <cell r="Q7">
            <v>0</v>
          </cell>
          <cell r="R7">
            <v>1.6</v>
          </cell>
          <cell r="S7">
            <v>0</v>
          </cell>
          <cell r="T7">
            <v>2.4</v>
          </cell>
        </row>
        <row r="8">
          <cell r="K8">
            <v>0.25</v>
          </cell>
          <cell r="M8">
            <v>0.25</v>
          </cell>
          <cell r="O8">
            <v>0.25</v>
          </cell>
          <cell r="P8">
            <v>1.3</v>
          </cell>
          <cell r="Q8">
            <v>0.25</v>
          </cell>
          <cell r="R8">
            <v>1.6</v>
          </cell>
          <cell r="S8">
            <v>0.25</v>
          </cell>
          <cell r="T8">
            <v>2.4</v>
          </cell>
        </row>
        <row r="9">
          <cell r="K9">
            <v>0.5</v>
          </cell>
          <cell r="M9">
            <v>0.5</v>
          </cell>
          <cell r="O9">
            <v>0.5</v>
          </cell>
          <cell r="P9">
            <v>1.3</v>
          </cell>
          <cell r="Q9">
            <v>0.5</v>
          </cell>
          <cell r="R9">
            <v>1.4</v>
          </cell>
          <cell r="S9">
            <v>0.5</v>
          </cell>
          <cell r="T9">
            <v>1.7</v>
          </cell>
        </row>
        <row r="10">
          <cell r="K10">
            <v>0.75</v>
          </cell>
          <cell r="M10">
            <v>0.75</v>
          </cell>
          <cell r="O10">
            <v>0.75</v>
          </cell>
          <cell r="P10">
            <v>1.2</v>
          </cell>
          <cell r="Q10">
            <v>0.75</v>
          </cell>
          <cell r="R10">
            <v>1.2</v>
          </cell>
          <cell r="S10">
            <v>0.75</v>
          </cell>
          <cell r="T10">
            <v>1.3</v>
          </cell>
        </row>
        <row r="11">
          <cell r="K11">
            <v>1</v>
          </cell>
          <cell r="M11">
            <v>1</v>
          </cell>
          <cell r="O11">
            <v>1</v>
          </cell>
          <cell r="P11">
            <v>1.2</v>
          </cell>
          <cell r="Q11">
            <v>1</v>
          </cell>
          <cell r="R11">
            <v>1.1000000000000001</v>
          </cell>
          <cell r="S11">
            <v>1</v>
          </cell>
        </row>
        <row r="12">
          <cell r="K12">
            <v>1.25</v>
          </cell>
          <cell r="M12">
            <v>1.25</v>
          </cell>
          <cell r="O12">
            <v>1.25</v>
          </cell>
          <cell r="P12">
            <v>1.2</v>
          </cell>
          <cell r="Q12">
            <v>1.25</v>
          </cell>
          <cell r="R12">
            <v>1</v>
          </cell>
          <cell r="S12">
            <v>1.25</v>
          </cell>
        </row>
        <row r="13">
          <cell r="K13">
            <v>1.5</v>
          </cell>
          <cell r="M13">
            <v>1.5</v>
          </cell>
          <cell r="O13">
            <v>1.5</v>
          </cell>
          <cell r="P13">
            <v>1.2</v>
          </cell>
          <cell r="Q13">
            <v>1.5</v>
          </cell>
          <cell r="R13">
            <v>1</v>
          </cell>
          <cell r="S13">
            <v>1.5</v>
          </cell>
        </row>
        <row r="14">
          <cell r="L14">
            <v>0.878</v>
          </cell>
          <cell r="N14">
            <v>0.878</v>
          </cell>
          <cell r="P14">
            <v>0.878</v>
          </cell>
          <cell r="R14">
            <v>0.878</v>
          </cell>
          <cell r="T14">
            <v>0.878</v>
          </cell>
        </row>
        <row r="15">
          <cell r="P15">
            <v>4</v>
          </cell>
          <cell r="R15">
            <v>4</v>
          </cell>
          <cell r="T15">
            <v>4</v>
          </cell>
        </row>
        <row r="22">
          <cell r="K22">
            <v>0</v>
          </cell>
          <cell r="M22">
            <v>0</v>
          </cell>
          <cell r="O22">
            <v>0</v>
          </cell>
          <cell r="P22">
            <v>1.5</v>
          </cell>
          <cell r="Q22">
            <v>0</v>
          </cell>
          <cell r="R22">
            <v>2.4</v>
          </cell>
          <cell r="S22">
            <v>0</v>
          </cell>
          <cell r="T22">
            <v>4.2</v>
          </cell>
        </row>
        <row r="23">
          <cell r="K23">
            <v>0.1</v>
          </cell>
          <cell r="M23">
            <v>0.1</v>
          </cell>
          <cell r="O23">
            <v>0.1</v>
          </cell>
          <cell r="P23">
            <v>1.5</v>
          </cell>
          <cell r="Q23">
            <v>0.1</v>
          </cell>
          <cell r="R23">
            <v>2.4</v>
          </cell>
          <cell r="S23">
            <v>0.1</v>
          </cell>
          <cell r="T23">
            <v>4.2</v>
          </cell>
        </row>
        <row r="24">
          <cell r="K24">
            <v>0.2</v>
          </cell>
          <cell r="M24">
            <v>0.2</v>
          </cell>
          <cell r="O24">
            <v>0.2</v>
          </cell>
          <cell r="P24">
            <v>1.5</v>
          </cell>
          <cell r="Q24">
            <v>0.2</v>
          </cell>
          <cell r="R24">
            <v>2.2000000000000002</v>
          </cell>
          <cell r="S24">
            <v>0.2</v>
          </cell>
        </row>
        <row r="25">
          <cell r="K25">
            <v>0.3</v>
          </cell>
          <cell r="M25">
            <v>0.3</v>
          </cell>
          <cell r="O25">
            <v>0.3</v>
          </cell>
          <cell r="P25">
            <v>1.5</v>
          </cell>
          <cell r="Q25">
            <v>0.3</v>
          </cell>
          <cell r="R25">
            <v>2</v>
          </cell>
          <cell r="S25">
            <v>0.3</v>
          </cell>
        </row>
        <row r="26">
          <cell r="K26">
            <v>0.4</v>
          </cell>
          <cell r="M26">
            <v>0.4</v>
          </cell>
          <cell r="O26">
            <v>0.4</v>
          </cell>
          <cell r="P26">
            <v>1.5</v>
          </cell>
          <cell r="Q26">
            <v>0.4</v>
          </cell>
          <cell r="R26">
            <v>1.9</v>
          </cell>
          <cell r="S26">
            <v>0.4</v>
          </cell>
        </row>
        <row r="27">
          <cell r="K27">
            <v>0.5</v>
          </cell>
          <cell r="M27">
            <v>0.5</v>
          </cell>
          <cell r="O27">
            <v>0.5</v>
          </cell>
          <cell r="P27">
            <v>1.5</v>
          </cell>
          <cell r="Q27">
            <v>0.5</v>
          </cell>
          <cell r="R27">
            <v>1.8</v>
          </cell>
          <cell r="S27">
            <v>0.5</v>
          </cell>
        </row>
        <row r="28">
          <cell r="K28">
            <v>0.6</v>
          </cell>
          <cell r="M28">
            <v>0.6</v>
          </cell>
          <cell r="O28">
            <v>0.6</v>
          </cell>
          <cell r="P28">
            <v>1.4</v>
          </cell>
          <cell r="Q28">
            <v>0.6</v>
          </cell>
          <cell r="R28">
            <v>1.7</v>
          </cell>
          <cell r="S28">
            <v>0.6</v>
          </cell>
        </row>
        <row r="29">
          <cell r="L29">
            <v>0.39100000000000001</v>
          </cell>
          <cell r="N29">
            <v>0.39100000000000001</v>
          </cell>
          <cell r="P29">
            <v>0.39100000000000001</v>
          </cell>
          <cell r="R29">
            <v>0.39100000000000001</v>
          </cell>
          <cell r="T29">
            <v>0.39100000000000001</v>
          </cell>
        </row>
        <row r="30">
          <cell r="P30">
            <v>4</v>
          </cell>
          <cell r="R30">
            <v>4</v>
          </cell>
          <cell r="T30">
            <v>4</v>
          </cell>
        </row>
      </sheetData>
      <sheetData sheetId="2"/>
      <sheetData sheetId="3"/>
      <sheetData sheetId="4"/>
      <sheetData sheetId="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BZ749"/>
  <sheetViews>
    <sheetView topLeftCell="A11" zoomScaleNormal="100" zoomScaleSheetLayoutView="100" workbookViewId="0">
      <selection activeCell="C22" sqref="C22"/>
    </sheetView>
  </sheetViews>
  <sheetFormatPr defaultColWidth="9.140625" defaultRowHeight="12.75" x14ac:dyDescent="0.2"/>
  <cols>
    <col min="1" max="2" width="11.42578125" style="2" customWidth="1"/>
    <col min="3" max="3" width="67.140625" style="2" bestFit="1" customWidth="1"/>
    <col min="4" max="4" width="9" style="2" bestFit="1" customWidth="1"/>
    <col min="5" max="10" width="11.42578125" style="2" customWidth="1"/>
    <col min="11" max="22" width="9.140625" style="2"/>
    <col min="23" max="23" width="15.5703125" style="2" bestFit="1" customWidth="1"/>
    <col min="24" max="24" width="10.42578125" style="2" customWidth="1"/>
    <col min="25" max="78" width="9.140625" style="111"/>
    <col min="79" max="16384" width="9.140625" style="2"/>
  </cols>
  <sheetData>
    <row r="1" spans="1:24" ht="15" customHeight="1" x14ac:dyDescent="0.25">
      <c r="A1" s="195"/>
      <c r="B1" s="196"/>
      <c r="C1" s="196"/>
      <c r="D1" s="207" t="s">
        <v>131</v>
      </c>
      <c r="E1" s="340"/>
      <c r="F1" s="341"/>
      <c r="G1" s="342"/>
      <c r="H1" s="216" t="s">
        <v>132</v>
      </c>
      <c r="I1" s="212"/>
      <c r="J1" s="209" t="s">
        <v>133</v>
      </c>
      <c r="K1" s="24"/>
      <c r="L1" s="25" t="s">
        <v>134</v>
      </c>
      <c r="M1" s="26"/>
      <c r="N1" s="24"/>
      <c r="O1" s="24"/>
      <c r="P1" s="24"/>
      <c r="Q1" s="24"/>
      <c r="R1" s="24"/>
      <c r="S1" s="111"/>
      <c r="T1" s="111"/>
      <c r="U1" s="111"/>
      <c r="V1" s="111"/>
      <c r="W1" s="204" t="s">
        <v>178</v>
      </c>
      <c r="X1" s="205">
        <v>2.1</v>
      </c>
    </row>
    <row r="2" spans="1:24" ht="15" customHeight="1" x14ac:dyDescent="0.2">
      <c r="A2" s="199"/>
      <c r="B2" s="200"/>
      <c r="C2" s="200"/>
      <c r="D2" s="207" t="s">
        <v>135</v>
      </c>
      <c r="E2" s="340"/>
      <c r="F2" s="341"/>
      <c r="G2" s="342"/>
      <c r="H2" s="216" t="s">
        <v>136</v>
      </c>
      <c r="I2" s="217"/>
      <c r="J2" s="208" t="s">
        <v>177</v>
      </c>
      <c r="K2" s="24"/>
      <c r="L2" s="26"/>
      <c r="M2" s="26"/>
      <c r="N2" s="24"/>
      <c r="O2" s="24"/>
      <c r="P2" s="24"/>
      <c r="Q2" s="24"/>
      <c r="R2" s="24"/>
      <c r="S2" s="111"/>
      <c r="T2" s="111"/>
      <c r="U2" s="111"/>
      <c r="V2" s="111"/>
      <c r="W2" s="204" t="s">
        <v>179</v>
      </c>
      <c r="X2" s="215">
        <v>45201</v>
      </c>
    </row>
    <row r="3" spans="1:24" ht="15" customHeight="1" x14ac:dyDescent="0.2">
      <c r="A3" s="199"/>
      <c r="B3" s="200"/>
      <c r="C3" s="200"/>
      <c r="D3" s="207" t="s">
        <v>138</v>
      </c>
      <c r="E3" s="340"/>
      <c r="F3" s="341"/>
      <c r="G3" s="342"/>
      <c r="H3" s="216" t="s">
        <v>139</v>
      </c>
      <c r="I3" s="210"/>
      <c r="J3" s="209" t="s">
        <v>140</v>
      </c>
      <c r="K3" s="24"/>
      <c r="L3" s="30"/>
      <c r="M3" s="30"/>
      <c r="N3" s="24"/>
      <c r="O3" s="24"/>
      <c r="P3" s="24"/>
      <c r="Q3" s="24"/>
      <c r="R3" s="24"/>
      <c r="S3" s="111"/>
      <c r="T3" s="111"/>
      <c r="U3" s="111"/>
      <c r="V3" s="111"/>
      <c r="W3" s="111"/>
      <c r="X3" s="111"/>
    </row>
    <row r="4" spans="1:24" ht="15" customHeight="1" x14ac:dyDescent="0.2">
      <c r="A4" s="202"/>
      <c r="B4" s="203"/>
      <c r="C4" s="203"/>
      <c r="D4" s="207" t="s">
        <v>141</v>
      </c>
      <c r="E4" s="343" t="s">
        <v>153</v>
      </c>
      <c r="F4" s="344"/>
      <c r="G4" s="345"/>
      <c r="H4" s="216" t="s">
        <v>136</v>
      </c>
      <c r="I4" s="218"/>
      <c r="J4" s="212"/>
      <c r="K4" s="24"/>
      <c r="L4" s="30"/>
      <c r="M4" s="30"/>
      <c r="N4" s="24"/>
      <c r="O4" s="24"/>
      <c r="P4" s="24"/>
      <c r="Q4" s="24"/>
      <c r="R4" s="24"/>
      <c r="S4" s="111"/>
      <c r="T4" s="111"/>
      <c r="U4" s="111"/>
      <c r="V4" s="111"/>
      <c r="W4" s="111"/>
      <c r="X4" s="111"/>
    </row>
    <row r="5" spans="1:24" ht="15" customHeight="1" x14ac:dyDescent="0.2">
      <c r="A5" s="7"/>
      <c r="J5" s="8"/>
      <c r="K5" s="24"/>
      <c r="L5" s="34"/>
      <c r="M5" s="30"/>
      <c r="N5" s="24"/>
      <c r="O5" s="24"/>
      <c r="P5" s="24"/>
      <c r="Q5" s="24"/>
      <c r="R5" s="24"/>
      <c r="S5" s="111"/>
      <c r="T5" s="111"/>
      <c r="U5" s="111"/>
      <c r="V5" s="111"/>
      <c r="W5" s="111"/>
      <c r="X5" s="111"/>
    </row>
    <row r="6" spans="1:24" ht="15" customHeight="1" thickBot="1" x14ac:dyDescent="0.3">
      <c r="A6" s="45" t="s">
        <v>126</v>
      </c>
      <c r="B6" s="1"/>
      <c r="C6" s="1"/>
      <c r="D6" s="1"/>
      <c r="E6" s="1"/>
      <c r="F6" s="1"/>
      <c r="G6" s="1"/>
      <c r="H6" s="1"/>
      <c r="J6" s="102"/>
      <c r="K6" s="24"/>
      <c r="L6" s="339" t="s">
        <v>164</v>
      </c>
      <c r="M6" s="339"/>
      <c r="N6" s="339"/>
      <c r="O6" s="339"/>
      <c r="P6" s="339"/>
      <c r="Q6" s="339"/>
      <c r="R6" s="24"/>
      <c r="S6" s="111"/>
      <c r="T6" s="111"/>
      <c r="U6" s="111"/>
      <c r="V6" s="111"/>
      <c r="W6" s="111"/>
      <c r="X6" s="111"/>
    </row>
    <row r="7" spans="1:24" ht="15" customHeight="1" x14ac:dyDescent="0.2">
      <c r="A7" s="7"/>
      <c r="J7" s="8"/>
      <c r="K7" s="24"/>
      <c r="L7" s="68"/>
      <c r="M7" s="317" t="s">
        <v>165</v>
      </c>
      <c r="N7" s="318"/>
      <c r="O7" s="318"/>
      <c r="P7" s="318"/>
      <c r="Q7" s="318"/>
      <c r="R7" s="24"/>
      <c r="S7" s="111"/>
      <c r="T7" s="111"/>
      <c r="U7" s="111"/>
      <c r="V7" s="111"/>
      <c r="W7" s="111"/>
      <c r="X7" s="111"/>
    </row>
    <row r="8" spans="1:24" ht="15" customHeight="1" x14ac:dyDescent="0.25">
      <c r="A8" s="7"/>
      <c r="B8" s="88" t="s">
        <v>0</v>
      </c>
      <c r="C8" s="39" t="s">
        <v>1</v>
      </c>
      <c r="E8" s="336" t="s">
        <v>224</v>
      </c>
      <c r="F8" s="337"/>
      <c r="G8" s="337"/>
      <c r="H8" s="338"/>
      <c r="J8" s="8"/>
      <c r="K8" s="24"/>
      <c r="L8" s="38">
        <v>888</v>
      </c>
      <c r="M8" s="319" t="s">
        <v>166</v>
      </c>
      <c r="N8" s="320"/>
      <c r="O8" s="320"/>
      <c r="P8" s="320"/>
      <c r="Q8" s="320"/>
      <c r="R8" s="24"/>
      <c r="S8" s="111"/>
      <c r="T8" s="111"/>
      <c r="U8" s="111"/>
      <c r="V8" s="111"/>
      <c r="W8" s="111"/>
      <c r="X8" s="111"/>
    </row>
    <row r="9" spans="1:24" ht="15" customHeight="1" x14ac:dyDescent="0.25">
      <c r="A9" s="7"/>
      <c r="B9" s="88" t="s">
        <v>122</v>
      </c>
      <c r="C9" s="40">
        <v>45.602978999999998</v>
      </c>
      <c r="J9" s="8"/>
      <c r="K9" s="24"/>
      <c r="L9" s="71">
        <v>1.05</v>
      </c>
      <c r="M9" s="320" t="s">
        <v>167</v>
      </c>
      <c r="N9" s="320"/>
      <c r="O9" s="320"/>
      <c r="P9" s="320"/>
      <c r="Q9" s="320"/>
      <c r="R9" s="24"/>
      <c r="S9" s="111"/>
      <c r="T9" s="111"/>
      <c r="U9" s="111"/>
      <c r="V9" s="111"/>
      <c r="W9" s="111"/>
      <c r="X9" s="111"/>
    </row>
    <row r="10" spans="1:24" ht="15" customHeight="1" x14ac:dyDescent="0.2">
      <c r="A10" s="7"/>
      <c r="B10" s="88" t="s">
        <v>123</v>
      </c>
      <c r="C10" s="40">
        <v>-124.04600000000001</v>
      </c>
      <c r="E10" s="10"/>
      <c r="J10" s="8"/>
      <c r="K10" s="24"/>
      <c r="L10" s="24"/>
      <c r="M10" s="24"/>
      <c r="N10" s="24"/>
      <c r="O10" s="24"/>
      <c r="P10" s="24"/>
      <c r="Q10" s="24"/>
      <c r="R10" s="24"/>
      <c r="S10" s="111"/>
      <c r="T10" s="111"/>
      <c r="U10" s="111"/>
      <c r="V10" s="111"/>
      <c r="W10" s="111"/>
      <c r="X10" s="111"/>
    </row>
    <row r="11" spans="1:24" ht="15" customHeight="1" x14ac:dyDescent="0.2">
      <c r="A11" s="7"/>
      <c r="J11" s="8"/>
      <c r="K11" s="24"/>
      <c r="L11" s="24"/>
      <c r="M11" s="24"/>
      <c r="N11" s="24"/>
      <c r="O11" s="24"/>
      <c r="P11" s="24"/>
      <c r="Q11" s="24"/>
      <c r="R11" s="24"/>
      <c r="S11" s="111"/>
      <c r="T11" s="111"/>
      <c r="U11" s="111"/>
      <c r="V11" s="111"/>
      <c r="W11" s="111"/>
      <c r="X11" s="111"/>
    </row>
    <row r="12" spans="1:24" ht="15" customHeight="1" x14ac:dyDescent="0.3">
      <c r="A12" s="7"/>
      <c r="B12" s="11" t="s">
        <v>113</v>
      </c>
      <c r="C12" s="41">
        <v>0.88700000000000001</v>
      </c>
      <c r="E12" s="336" t="s">
        <v>223</v>
      </c>
      <c r="F12" s="337"/>
      <c r="G12" s="337"/>
      <c r="H12" s="338"/>
      <c r="J12" s="8"/>
      <c r="K12" s="24"/>
      <c r="L12" s="24"/>
      <c r="M12" s="24"/>
      <c r="N12" s="24"/>
      <c r="O12" s="24"/>
      <c r="P12" s="24"/>
      <c r="Q12" s="24"/>
      <c r="R12" s="24"/>
      <c r="S12" s="111"/>
      <c r="T12" s="111"/>
      <c r="U12" s="111"/>
      <c r="V12" s="111"/>
      <c r="W12" s="111"/>
      <c r="X12" s="111"/>
    </row>
    <row r="13" spans="1:24" ht="15" customHeight="1" x14ac:dyDescent="0.3">
      <c r="A13" s="7"/>
      <c r="B13" s="11" t="s">
        <v>2</v>
      </c>
      <c r="C13" s="41">
        <v>0.41</v>
      </c>
      <c r="E13" s="336" t="s">
        <v>223</v>
      </c>
      <c r="F13" s="337"/>
      <c r="G13" s="337"/>
      <c r="H13" s="338"/>
      <c r="J13" s="8"/>
      <c r="K13" s="111"/>
      <c r="L13" s="111"/>
      <c r="M13" s="111"/>
      <c r="N13" s="111"/>
      <c r="O13" s="111"/>
      <c r="P13" s="111"/>
      <c r="Q13" s="111"/>
      <c r="R13" s="111"/>
      <c r="S13" s="111"/>
      <c r="T13" s="111"/>
      <c r="U13" s="111"/>
      <c r="V13" s="111"/>
      <c r="W13" s="111"/>
      <c r="X13" s="111"/>
    </row>
    <row r="14" spans="1:24" ht="15" customHeight="1" x14ac:dyDescent="0.3">
      <c r="A14" s="7"/>
      <c r="B14" s="88" t="s">
        <v>114</v>
      </c>
      <c r="C14" s="99">
        <f ca="1">'Site Coefficients'!C39</f>
        <v>1.1452</v>
      </c>
      <c r="E14" s="10" t="s">
        <v>115</v>
      </c>
      <c r="J14" s="8"/>
      <c r="K14" s="111"/>
      <c r="L14" s="111"/>
      <c r="M14" s="111"/>
      <c r="N14" s="111"/>
      <c r="O14" s="111"/>
      <c r="P14" s="111"/>
      <c r="Q14" s="111"/>
      <c r="R14" s="111"/>
      <c r="S14" s="111"/>
      <c r="T14" s="111"/>
      <c r="U14" s="111"/>
      <c r="V14" s="111"/>
      <c r="W14" s="111"/>
      <c r="X14" s="111"/>
    </row>
    <row r="15" spans="1:24" ht="15" customHeight="1" x14ac:dyDescent="0.3">
      <c r="A15" s="7"/>
      <c r="B15" s="88" t="s">
        <v>116</v>
      </c>
      <c r="C15" s="99">
        <f ca="1">'Site Coefficients'!C40</f>
        <v>1.8900000000000001</v>
      </c>
      <c r="E15" s="10" t="s">
        <v>117</v>
      </c>
      <c r="J15" s="8"/>
      <c r="K15" s="111"/>
      <c r="L15" s="111"/>
      <c r="M15" s="111"/>
      <c r="N15" s="111"/>
      <c r="O15" s="111"/>
      <c r="P15" s="111"/>
      <c r="Q15" s="111"/>
      <c r="R15" s="111"/>
      <c r="S15" s="111"/>
      <c r="T15" s="111"/>
      <c r="U15" s="111"/>
      <c r="V15" s="111"/>
      <c r="W15" s="111"/>
      <c r="X15" s="111"/>
    </row>
    <row r="16" spans="1:24" ht="15" customHeight="1" x14ac:dyDescent="0.2">
      <c r="A16" s="7"/>
      <c r="B16" s="88"/>
      <c r="C16" s="214" t="str">
        <f>+IF(AND(C8="D",C13&gt;=0.2),"See Section 11.4.8 - Design spectrum values increased to meet exception","")</f>
        <v>See Section 11.4.8 - Design spectrum values increased to meet exception</v>
      </c>
      <c r="E16" s="10"/>
      <c r="J16" s="8"/>
      <c r="K16" s="111"/>
      <c r="L16" s="111"/>
      <c r="M16" s="111"/>
      <c r="N16" s="111"/>
      <c r="O16" s="111"/>
      <c r="P16" s="111"/>
      <c r="Q16" s="111"/>
      <c r="R16" s="111"/>
      <c r="S16" s="111"/>
      <c r="T16" s="111"/>
      <c r="U16" s="111"/>
      <c r="V16" s="111"/>
      <c r="W16" s="111"/>
      <c r="X16" s="111"/>
    </row>
    <row r="17" spans="1:24" ht="15" customHeight="1" x14ac:dyDescent="0.3">
      <c r="A17" s="7"/>
      <c r="B17" s="88" t="s">
        <v>3</v>
      </c>
      <c r="C17" s="103">
        <f ca="1">+C12*C14</f>
        <v>1.0157924</v>
      </c>
      <c r="E17" s="10" t="s">
        <v>124</v>
      </c>
      <c r="J17" s="8"/>
      <c r="K17" s="111"/>
      <c r="L17" s="111"/>
      <c r="M17" s="111"/>
      <c r="N17" s="111"/>
      <c r="O17" s="111"/>
      <c r="P17" s="111"/>
      <c r="Q17" s="111"/>
      <c r="R17" s="111"/>
      <c r="S17" s="111"/>
      <c r="T17" s="111"/>
      <c r="U17" s="111"/>
      <c r="V17" s="111"/>
      <c r="W17" s="111"/>
      <c r="X17" s="111"/>
    </row>
    <row r="18" spans="1:24" ht="15" customHeight="1" x14ac:dyDescent="0.3">
      <c r="A18" s="7"/>
      <c r="B18" s="88" t="s">
        <v>4</v>
      </c>
      <c r="C18" s="103">
        <f ca="1">+C13*C15</f>
        <v>0.77490000000000003</v>
      </c>
      <c r="E18" s="10" t="s">
        <v>125</v>
      </c>
      <c r="J18" s="8"/>
      <c r="K18" s="111"/>
      <c r="L18" s="111"/>
      <c r="M18" s="111"/>
      <c r="N18" s="111"/>
      <c r="O18" s="111"/>
      <c r="P18" s="111"/>
      <c r="Q18" s="111"/>
      <c r="R18" s="111"/>
      <c r="S18" s="111"/>
      <c r="T18" s="111"/>
      <c r="U18" s="111"/>
      <c r="V18" s="111"/>
      <c r="W18" s="111"/>
      <c r="X18" s="111"/>
    </row>
    <row r="19" spans="1:24" ht="15" customHeight="1" x14ac:dyDescent="0.2">
      <c r="A19" s="7"/>
      <c r="B19" s="88"/>
      <c r="C19" s="104"/>
      <c r="D19" s="105"/>
      <c r="E19" s="106"/>
      <c r="J19" s="8"/>
      <c r="K19" s="111"/>
      <c r="L19" s="112" t="s">
        <v>14</v>
      </c>
      <c r="M19" s="113"/>
      <c r="N19" s="161"/>
      <c r="O19" s="162"/>
      <c r="P19" s="111"/>
      <c r="Q19" s="111"/>
      <c r="R19" s="111"/>
      <c r="S19" s="111"/>
      <c r="T19" s="111"/>
      <c r="U19" s="111"/>
      <c r="V19" s="111"/>
      <c r="W19" s="111"/>
      <c r="X19" s="111"/>
    </row>
    <row r="20" spans="1:24" ht="15" customHeight="1" thickBot="1" x14ac:dyDescent="0.35">
      <c r="A20" s="7"/>
      <c r="J20" s="8"/>
      <c r="K20" s="111"/>
      <c r="L20" s="114" t="s">
        <v>12</v>
      </c>
      <c r="M20" s="115" t="s">
        <v>21</v>
      </c>
      <c r="N20" s="114" t="s">
        <v>12</v>
      </c>
      <c r="O20" s="115" t="s">
        <v>21</v>
      </c>
      <c r="P20" s="111"/>
      <c r="Q20" s="116" t="s">
        <v>108</v>
      </c>
      <c r="R20" s="111"/>
      <c r="S20" s="111"/>
      <c r="T20" s="111"/>
      <c r="U20" s="111"/>
      <c r="V20" s="111"/>
      <c r="W20" s="111"/>
      <c r="X20" s="111"/>
    </row>
    <row r="21" spans="1:24" ht="15" customHeight="1" x14ac:dyDescent="0.3">
      <c r="A21" s="7"/>
      <c r="B21" s="91" t="s">
        <v>37</v>
      </c>
      <c r="C21" s="107">
        <f ca="1">+C17*2/3</f>
        <v>0.67719493333333336</v>
      </c>
      <c r="E21" s="10" t="s">
        <v>127</v>
      </c>
      <c r="J21" s="8"/>
      <c r="K21" s="111"/>
      <c r="L21" s="117">
        <v>0</v>
      </c>
      <c r="M21" s="118">
        <f ca="1">0.4 * C21</f>
        <v>0.27087797333333336</v>
      </c>
      <c r="N21" s="117">
        <v>0</v>
      </c>
      <c r="O21" s="118">
        <f ca="1">0.4 * C21</f>
        <v>0.27087797333333336</v>
      </c>
      <c r="P21" s="111"/>
      <c r="Q21" s="119">
        <v>0</v>
      </c>
      <c r="R21" s="120">
        <f ca="1">C39</f>
        <v>0.67719493333333336</v>
      </c>
      <c r="S21" s="111"/>
      <c r="T21" s="111"/>
      <c r="U21" s="111"/>
      <c r="V21" s="111"/>
      <c r="W21" s="111"/>
      <c r="X21" s="111"/>
    </row>
    <row r="22" spans="1:24" ht="15" customHeight="1" x14ac:dyDescent="0.3">
      <c r="A22" s="7"/>
      <c r="B22" s="91" t="s">
        <v>38</v>
      </c>
      <c r="C22" s="107">
        <f ca="1">+C18*2/3</f>
        <v>0.51660000000000006</v>
      </c>
      <c r="E22" s="10" t="s">
        <v>128</v>
      </c>
      <c r="J22" s="8"/>
      <c r="K22" s="111"/>
      <c r="L22" s="121">
        <f ca="1">C24</f>
        <v>0.15257054492630584</v>
      </c>
      <c r="M22" s="122">
        <f ca="1">C21</f>
        <v>0.67719493333333336</v>
      </c>
      <c r="N22" s="121">
        <f ca="1">+C24</f>
        <v>0.15257054492630584</v>
      </c>
      <c r="O22" s="122">
        <f ca="1">C21</f>
        <v>0.67719493333333336</v>
      </c>
      <c r="P22" s="111"/>
      <c r="Q22" s="123">
        <f>C33</f>
        <v>0.4</v>
      </c>
      <c r="R22" s="118">
        <f ca="1">C39</f>
        <v>0.67719493333333336</v>
      </c>
      <c r="S22" s="111"/>
      <c r="T22" s="111"/>
      <c r="U22" s="111"/>
      <c r="V22" s="111"/>
      <c r="W22" s="111"/>
      <c r="X22" s="111"/>
    </row>
    <row r="23" spans="1:24" ht="15" customHeight="1" x14ac:dyDescent="0.2">
      <c r="A23" s="7"/>
      <c r="J23" s="8"/>
      <c r="K23" s="111"/>
      <c r="L23" s="124">
        <f ca="1">+C25</f>
        <v>0.76285272463152909</v>
      </c>
      <c r="M23" s="120">
        <f ca="1">C21</f>
        <v>0.67719493333333336</v>
      </c>
      <c r="N23" s="124">
        <f ca="1">IF(AND(C8="D",C13&gt;=0.2),1.5*C25,C25)</f>
        <v>1.1442790869472936</v>
      </c>
      <c r="O23" s="120">
        <f ca="1">C21</f>
        <v>0.67719493333333336</v>
      </c>
      <c r="P23" s="111"/>
      <c r="Q23" s="125">
        <f>C33</f>
        <v>0.4</v>
      </c>
      <c r="R23" s="126">
        <v>0</v>
      </c>
      <c r="S23" s="111"/>
      <c r="T23" s="111"/>
      <c r="U23" s="111"/>
      <c r="V23" s="111"/>
      <c r="W23" s="111"/>
      <c r="X23" s="111"/>
    </row>
    <row r="24" spans="1:24" ht="15" customHeight="1" x14ac:dyDescent="0.3">
      <c r="A24" s="7"/>
      <c r="B24" s="88" t="s">
        <v>8</v>
      </c>
      <c r="C24" s="108">
        <f ca="1">0.2 * C25</f>
        <v>0.15257054492630584</v>
      </c>
      <c r="E24" s="109" t="s">
        <v>9</v>
      </c>
      <c r="J24" s="8"/>
      <c r="K24" s="111"/>
      <c r="L24" s="124">
        <f ca="1">ROUNDUP(L23 + 0.00001,1)</f>
        <v>0.79999999999999993</v>
      </c>
      <c r="M24" s="120">
        <f ca="1">+IF(L24&gt;$C$26,$C$22*$C$26/L24^2,$C$22 / L24)</f>
        <v>0.64575000000000016</v>
      </c>
      <c r="N24" s="124">
        <f ca="1">ROUNDUP(N23 + 0.00001,1)</f>
        <v>1.2000000000000002</v>
      </c>
      <c r="O24" s="120">
        <f ca="1">IF(AND($C$8="D",$C$13&gt;=0.2),1.5*IF(N24&gt;$C$26,$C$22*$C$26/N24^2,$C$22 / N24),IF(N24&gt;$C$26,$C$22*$C$26/N24^2,$C$22 / N24))</f>
        <v>0.64575000000000005</v>
      </c>
      <c r="P24" s="111"/>
      <c r="Q24" s="116"/>
      <c r="R24" s="116"/>
      <c r="S24" s="111"/>
      <c r="T24" s="111"/>
      <c r="U24" s="111"/>
      <c r="V24" s="111"/>
      <c r="W24" s="111"/>
      <c r="X24" s="111"/>
    </row>
    <row r="25" spans="1:24" ht="15" customHeight="1" x14ac:dyDescent="0.3">
      <c r="A25" s="7"/>
      <c r="B25" s="88" t="s">
        <v>7</v>
      </c>
      <c r="C25" s="108">
        <f ca="1">C22 / C21</f>
        <v>0.76285272463152909</v>
      </c>
      <c r="E25" s="109" t="s">
        <v>10</v>
      </c>
      <c r="J25" s="8"/>
      <c r="K25" s="111"/>
      <c r="L25" s="123">
        <f ca="1">L24 + 0.1</f>
        <v>0.89999999999999991</v>
      </c>
      <c r="M25" s="118">
        <f t="shared" ref="M25:M26" ca="1" si="0">+IF(L25&gt;$C$26,$C$22*$C$26/L25^2,$C$22 / L25)</f>
        <v>0.57400000000000018</v>
      </c>
      <c r="N25" s="123">
        <f ca="1">N24 + 0.1</f>
        <v>1.3000000000000003</v>
      </c>
      <c r="O25" s="118">
        <f ca="1">IF(AND($C$8="D",$C$13&gt;=0.2),1.5*IF(N25&gt;$C$26,$C$22*$C$26/N25^2,$C$22 / N25),IF(N25&gt;$C$26,$C$22*$C$26/N25^2,$C$22 / N25))</f>
        <v>0.59607692307692295</v>
      </c>
      <c r="P25" s="111"/>
      <c r="Q25" s="116"/>
      <c r="R25" s="116"/>
      <c r="S25" s="111"/>
      <c r="T25" s="111"/>
      <c r="U25" s="111"/>
      <c r="V25" s="111"/>
      <c r="W25" s="111"/>
      <c r="X25" s="111"/>
    </row>
    <row r="26" spans="1:24" ht="15" customHeight="1" x14ac:dyDescent="0.3">
      <c r="A26" s="7"/>
      <c r="B26" s="88" t="s">
        <v>39</v>
      </c>
      <c r="C26" s="73">
        <v>16</v>
      </c>
      <c r="E26" s="109" t="s">
        <v>40</v>
      </c>
      <c r="J26" s="8"/>
      <c r="K26" s="111"/>
      <c r="L26" s="123">
        <f t="shared" ref="L26:N27" ca="1" si="1">L25 + 0.1</f>
        <v>0.99999999999999989</v>
      </c>
      <c r="M26" s="118">
        <f t="shared" ca="1" si="0"/>
        <v>0.51660000000000017</v>
      </c>
      <c r="N26" s="123">
        <f t="shared" ca="1" si="1"/>
        <v>1.4000000000000004</v>
      </c>
      <c r="O26" s="118">
        <f ca="1">IF(AND($C$8="D",$C$13&gt;=0.2),1.5*IF(N26&gt;$C$26,$C$22*$C$26/N26^2,$C$22 / N26),IF(N26&gt;$C$26,$C$22*$C$26/N26^2,$C$22 / N26))</f>
        <v>0.55349999999999988</v>
      </c>
      <c r="P26" s="111"/>
      <c r="Q26" s="124">
        <f ca="1">C24</f>
        <v>0.15257054492630584</v>
      </c>
      <c r="R26" s="127">
        <v>0</v>
      </c>
      <c r="S26" s="111"/>
      <c r="T26" s="111"/>
      <c r="U26" s="111"/>
      <c r="V26" s="111"/>
      <c r="W26" s="111"/>
      <c r="X26" s="111"/>
    </row>
    <row r="27" spans="1:24" ht="15" customHeight="1" x14ac:dyDescent="0.2">
      <c r="A27" s="7"/>
      <c r="B27" s="88"/>
      <c r="C27" s="110"/>
      <c r="E27" s="109"/>
      <c r="J27" s="8"/>
      <c r="K27" s="111"/>
      <c r="L27" s="123">
        <f t="shared" ca="1" si="1"/>
        <v>1.0999999999999999</v>
      </c>
      <c r="M27" s="118">
        <f ca="1">+IF(L27&gt;$C$26,$C$22*$C$26/L27^2,$C$22 / L27)</f>
        <v>0.46963636363636374</v>
      </c>
      <c r="N27" s="123">
        <f t="shared" ca="1" si="1"/>
        <v>1.5000000000000004</v>
      </c>
      <c r="O27" s="118">
        <f t="shared" ref="O27" ca="1" si="2">IF(AND($C$8="D",$C$13&gt;=0.2),1.5*IF(N27&gt;$C$26,$C$22*$C$26/N27^2,$C$22 / N27),IF(N27&gt;$C$26,$C$22*$C$26/N27^2,$C$22 / N27))</f>
        <v>0.51659999999999995</v>
      </c>
      <c r="P27" s="111"/>
      <c r="Q27" s="125">
        <f ca="1">C24</f>
        <v>0.15257054492630584</v>
      </c>
      <c r="R27" s="133">
        <f ca="1">C21</f>
        <v>0.67719493333333336</v>
      </c>
      <c r="S27" s="111"/>
      <c r="T27" s="111"/>
      <c r="U27" s="111"/>
      <c r="V27" s="111"/>
      <c r="W27" s="111"/>
      <c r="X27" s="111"/>
    </row>
    <row r="28" spans="1:24" ht="15" customHeight="1" x14ac:dyDescent="0.3">
      <c r="A28" s="7"/>
      <c r="B28" s="11" t="s">
        <v>130</v>
      </c>
      <c r="C28" s="213">
        <f>'Vertical Distribution'!D18</f>
        <v>42.5</v>
      </c>
      <c r="E28" s="106" t="s">
        <v>180</v>
      </c>
      <c r="J28" s="8"/>
      <c r="K28" s="111"/>
      <c r="L28" s="123">
        <f t="shared" ref="L28:L39" ca="1" si="3">L27 + 0.1</f>
        <v>1.2</v>
      </c>
      <c r="M28" s="118">
        <f t="shared" ref="M28:M69" ca="1" si="4">+IF(L28&gt;$C$26,$C$22*$C$26/L28^2,$C$22 / L28)</f>
        <v>0.43050000000000005</v>
      </c>
      <c r="N28" s="123">
        <f t="shared" ref="N28:N39" ca="1" si="5">N27 + 0.1</f>
        <v>1.6000000000000005</v>
      </c>
      <c r="O28" s="118">
        <f t="shared" ref="O28:O69" ca="1" si="6">IF(AND($C$8="D",$C$13&gt;=0.2),1.5*IF(N28&gt;$C$26,$C$22*$C$26/N28^2,$C$22 / N28),IF(N28&gt;$C$26,$C$22*$C$26/N28^2,$C$22 / N28))</f>
        <v>0.48431249999999987</v>
      </c>
      <c r="P28" s="111"/>
      <c r="Q28" s="128"/>
      <c r="R28" s="129"/>
      <c r="S28" s="111"/>
      <c r="T28" s="111"/>
      <c r="U28" s="111"/>
      <c r="V28" s="111"/>
      <c r="W28" s="111"/>
      <c r="X28" s="111"/>
    </row>
    <row r="29" spans="1:24" ht="15" customHeight="1" x14ac:dyDescent="0.3">
      <c r="A29" s="300"/>
      <c r="B29" s="11" t="s">
        <v>81</v>
      </c>
      <c r="C29" s="74">
        <v>0.4</v>
      </c>
      <c r="E29" s="106" t="s">
        <v>129</v>
      </c>
      <c r="J29" s="8"/>
      <c r="K29" s="111"/>
      <c r="L29" s="123">
        <f t="shared" ca="1" si="3"/>
        <v>1.3</v>
      </c>
      <c r="M29" s="118">
        <f t="shared" ca="1" si="4"/>
        <v>0.39738461538461539</v>
      </c>
      <c r="N29" s="123">
        <f t="shared" ca="1" si="5"/>
        <v>1.7000000000000006</v>
      </c>
      <c r="O29" s="118">
        <f t="shared" ca="1" si="6"/>
        <v>0.45582352941176457</v>
      </c>
      <c r="P29" s="111"/>
      <c r="Q29" s="116"/>
      <c r="R29" s="116"/>
      <c r="S29" s="111"/>
      <c r="T29" s="111"/>
      <c r="U29" s="111"/>
      <c r="V29" s="111"/>
      <c r="W29" s="111"/>
      <c r="X29" s="111"/>
    </row>
    <row r="30" spans="1:24" ht="15" customHeight="1" x14ac:dyDescent="0.3">
      <c r="A30" s="300"/>
      <c r="B30" s="11" t="s">
        <v>111</v>
      </c>
      <c r="C30" s="75" t="s">
        <v>46</v>
      </c>
      <c r="E30" s="106" t="s">
        <v>82</v>
      </c>
      <c r="J30" s="8"/>
      <c r="K30" s="111"/>
      <c r="L30" s="123">
        <f t="shared" ca="1" si="3"/>
        <v>1.4000000000000001</v>
      </c>
      <c r="M30" s="118">
        <f t="shared" ca="1" si="4"/>
        <v>0.36899999999999999</v>
      </c>
      <c r="N30" s="123">
        <f t="shared" ca="1" si="5"/>
        <v>1.8000000000000007</v>
      </c>
      <c r="O30" s="118">
        <f t="shared" ca="1" si="6"/>
        <v>0.43049999999999988</v>
      </c>
      <c r="P30" s="111"/>
      <c r="Q30" s="124">
        <f ca="1">C25</f>
        <v>0.76285272463152909</v>
      </c>
      <c r="R30" s="130">
        <v>0</v>
      </c>
      <c r="S30" s="111"/>
      <c r="T30" s="111"/>
      <c r="U30" s="111"/>
      <c r="V30" s="111"/>
      <c r="W30" s="111"/>
      <c r="X30" s="111"/>
    </row>
    <row r="31" spans="1:24" ht="15" customHeight="1" x14ac:dyDescent="0.2">
      <c r="A31" s="7"/>
      <c r="B31" s="88" t="s">
        <v>18</v>
      </c>
      <c r="C31" s="74" t="s">
        <v>46</v>
      </c>
      <c r="E31" s="109" t="s">
        <v>33</v>
      </c>
      <c r="J31" s="8"/>
      <c r="K31" s="111"/>
      <c r="L31" s="123">
        <f t="shared" ca="1" si="3"/>
        <v>1.5000000000000002</v>
      </c>
      <c r="M31" s="118">
        <f t="shared" ca="1" si="4"/>
        <v>0.34439999999999998</v>
      </c>
      <c r="N31" s="123">
        <f t="shared" ca="1" si="5"/>
        <v>1.9000000000000008</v>
      </c>
      <c r="O31" s="118">
        <f t="shared" ca="1" si="6"/>
        <v>0.40784210526315778</v>
      </c>
      <c r="P31" s="111"/>
      <c r="Q31" s="125">
        <f ca="1">C25</f>
        <v>0.76285272463152909</v>
      </c>
      <c r="R31" s="133">
        <f ca="1">C21</f>
        <v>0.67719493333333336</v>
      </c>
      <c r="S31" s="111"/>
      <c r="T31" s="111" t="s">
        <v>219</v>
      </c>
      <c r="U31" s="111"/>
      <c r="V31" s="111"/>
      <c r="W31" s="111"/>
      <c r="X31" s="111"/>
    </row>
    <row r="32" spans="1:24" ht="15" customHeight="1" x14ac:dyDescent="0.3">
      <c r="A32" s="7"/>
      <c r="B32" s="11" t="s">
        <v>83</v>
      </c>
      <c r="C32" s="39">
        <v>1</v>
      </c>
      <c r="E32" s="10" t="s">
        <v>84</v>
      </c>
      <c r="J32" s="8"/>
      <c r="K32" s="111"/>
      <c r="L32" s="123">
        <f t="shared" ca="1" si="3"/>
        <v>1.6000000000000003</v>
      </c>
      <c r="M32" s="118">
        <f t="shared" ca="1" si="4"/>
        <v>0.32287499999999997</v>
      </c>
      <c r="N32" s="123">
        <f t="shared" ca="1" si="5"/>
        <v>2.0000000000000009</v>
      </c>
      <c r="O32" s="118">
        <f t="shared" ca="1" si="6"/>
        <v>0.38744999999999985</v>
      </c>
      <c r="P32" s="111"/>
      <c r="Q32" s="116"/>
      <c r="R32" s="116"/>
      <c r="S32" s="111"/>
      <c r="T32" s="111"/>
      <c r="U32" s="111"/>
      <c r="V32" s="111"/>
      <c r="W32" s="111"/>
      <c r="X32" s="111"/>
    </row>
    <row r="33" spans="1:24" ht="15" customHeight="1" x14ac:dyDescent="0.2">
      <c r="A33" s="7"/>
      <c r="B33" s="91" t="s">
        <v>34</v>
      </c>
      <c r="C33" s="76">
        <f>MAX(C29:C31)</f>
        <v>0.4</v>
      </c>
      <c r="E33" s="106" t="s">
        <v>218</v>
      </c>
      <c r="J33" s="8"/>
      <c r="K33" s="111"/>
      <c r="L33" s="123">
        <f t="shared" ca="1" si="3"/>
        <v>1.7000000000000004</v>
      </c>
      <c r="M33" s="118">
        <f t="shared" ca="1" si="4"/>
        <v>0.30388235294117644</v>
      </c>
      <c r="N33" s="123">
        <f t="shared" ca="1" si="5"/>
        <v>2.100000000000001</v>
      </c>
      <c r="O33" s="118">
        <f t="shared" ca="1" si="6"/>
        <v>0.36899999999999988</v>
      </c>
      <c r="P33" s="111"/>
      <c r="Q33" s="223">
        <f>C26</f>
        <v>16</v>
      </c>
      <c r="R33" s="130">
        <v>0</v>
      </c>
      <c r="S33" s="111"/>
      <c r="T33" s="111" t="s">
        <v>220</v>
      </c>
      <c r="U33" s="111"/>
      <c r="V33" s="111"/>
      <c r="W33" s="111"/>
      <c r="X33" s="111"/>
    </row>
    <row r="34" spans="1:24" ht="15" customHeight="1" x14ac:dyDescent="0.2">
      <c r="A34" s="7"/>
      <c r="J34" s="8"/>
      <c r="K34" s="111"/>
      <c r="L34" s="123">
        <f t="shared" ca="1" si="3"/>
        <v>1.8000000000000005</v>
      </c>
      <c r="M34" s="118">
        <f t="shared" ca="1" si="4"/>
        <v>0.28699999999999998</v>
      </c>
      <c r="N34" s="123">
        <f t="shared" ca="1" si="5"/>
        <v>2.2000000000000011</v>
      </c>
      <c r="O34" s="118">
        <f t="shared" ca="1" si="6"/>
        <v>0.35222727272727261</v>
      </c>
      <c r="P34" s="111"/>
      <c r="Q34" s="224">
        <f>C26</f>
        <v>16</v>
      </c>
      <c r="R34" s="133">
        <f ca="1">C22 / C26</f>
        <v>3.2287500000000004E-2</v>
      </c>
      <c r="S34" s="111"/>
      <c r="T34" s="111"/>
      <c r="U34" s="111"/>
      <c r="V34" s="111"/>
      <c r="W34" s="111"/>
      <c r="X34" s="111"/>
    </row>
    <row r="35" spans="1:24" ht="15" customHeight="1" x14ac:dyDescent="0.3">
      <c r="A35" s="7"/>
      <c r="B35" s="88" t="s">
        <v>11</v>
      </c>
      <c r="C35" s="103">
        <f ca="1">C21 * (0.4 + 0.6 * C33 / C24)</f>
        <v>1.3361345998892862</v>
      </c>
      <c r="E35" s="106" t="s">
        <v>85</v>
      </c>
      <c r="J35" s="8"/>
      <c r="K35" s="111"/>
      <c r="L35" s="123">
        <f t="shared" ca="1" si="3"/>
        <v>1.9000000000000006</v>
      </c>
      <c r="M35" s="118">
        <f t="shared" ca="1" si="4"/>
        <v>0.27189473684210519</v>
      </c>
      <c r="N35" s="123">
        <f t="shared" ca="1" si="5"/>
        <v>2.3000000000000012</v>
      </c>
      <c r="O35" s="118">
        <f t="shared" ca="1" si="6"/>
        <v>0.33691304347826079</v>
      </c>
      <c r="P35" s="111"/>
      <c r="Q35" s="131"/>
      <c r="R35" s="131"/>
      <c r="S35" s="111"/>
      <c r="T35" s="111"/>
      <c r="U35" s="111"/>
      <c r="V35" s="111"/>
      <c r="W35" s="111"/>
      <c r="X35" s="111"/>
    </row>
    <row r="36" spans="1:24" ht="15" customHeight="1" x14ac:dyDescent="0.3">
      <c r="A36" s="7"/>
      <c r="B36" s="11" t="s">
        <v>109</v>
      </c>
      <c r="C36" s="103">
        <f ca="1">C21</f>
        <v>0.67719493333333336</v>
      </c>
      <c r="E36" s="109" t="s">
        <v>41</v>
      </c>
      <c r="J36" s="8"/>
      <c r="K36" s="111"/>
      <c r="L36" s="123">
        <f t="shared" ca="1" si="3"/>
        <v>2.0000000000000004</v>
      </c>
      <c r="M36" s="118">
        <f t="shared" ca="1" si="4"/>
        <v>0.25829999999999997</v>
      </c>
      <c r="N36" s="123">
        <f t="shared" ca="1" si="5"/>
        <v>2.4000000000000012</v>
      </c>
      <c r="O36" s="118">
        <f t="shared" ca="1" si="6"/>
        <v>0.32287499999999986</v>
      </c>
      <c r="P36" s="111"/>
      <c r="Q36" s="132"/>
      <c r="R36" s="132"/>
      <c r="S36" s="111"/>
      <c r="T36" s="111"/>
      <c r="U36" s="111"/>
      <c r="V36" s="111"/>
      <c r="W36" s="111"/>
      <c r="X36" s="111"/>
    </row>
    <row r="37" spans="1:24" ht="15" customHeight="1" x14ac:dyDescent="0.3">
      <c r="A37" s="7"/>
      <c r="B37" s="11" t="s">
        <v>109</v>
      </c>
      <c r="C37" s="103">
        <f ca="1">C22 / C33</f>
        <v>1.2915000000000001</v>
      </c>
      <c r="E37" s="109" t="s">
        <v>42</v>
      </c>
      <c r="J37" s="8"/>
      <c r="K37" s="111"/>
      <c r="L37" s="123">
        <f t="shared" ca="1" si="3"/>
        <v>2.1000000000000005</v>
      </c>
      <c r="M37" s="118">
        <f t="shared" ca="1" si="4"/>
        <v>0.24599999999999997</v>
      </c>
      <c r="N37" s="123">
        <f t="shared" ca="1" si="5"/>
        <v>2.5000000000000013</v>
      </c>
      <c r="O37" s="118">
        <f t="shared" ca="1" si="6"/>
        <v>0.30995999999999985</v>
      </c>
      <c r="P37" s="111"/>
      <c r="Q37" s="132"/>
      <c r="R37" s="132"/>
      <c r="S37" s="111"/>
      <c r="T37" s="111"/>
      <c r="U37" s="111"/>
      <c r="V37" s="111"/>
      <c r="W37" s="111"/>
      <c r="X37" s="111"/>
    </row>
    <row r="38" spans="1:24" ht="15" customHeight="1" x14ac:dyDescent="0.3">
      <c r="A38" s="7"/>
      <c r="B38" s="11" t="s">
        <v>109</v>
      </c>
      <c r="C38" s="103">
        <f ca="1">C22 * C26 / C33^2</f>
        <v>51.66</v>
      </c>
      <c r="E38" s="106" t="s">
        <v>86</v>
      </c>
      <c r="J38" s="8"/>
      <c r="K38" s="111"/>
      <c r="L38" s="123">
        <f t="shared" ca="1" si="3"/>
        <v>2.2000000000000006</v>
      </c>
      <c r="M38" s="118">
        <f t="shared" ca="1" si="4"/>
        <v>0.23481818181818179</v>
      </c>
      <c r="N38" s="123">
        <f t="shared" ca="1" si="5"/>
        <v>2.6000000000000014</v>
      </c>
      <c r="O38" s="118">
        <f t="shared" ca="1" si="6"/>
        <v>0.29803846153846142</v>
      </c>
      <c r="P38" s="111"/>
      <c r="Q38" s="132"/>
      <c r="R38" s="132"/>
      <c r="S38" s="111"/>
      <c r="T38" s="111"/>
      <c r="U38" s="111"/>
      <c r="V38" s="111"/>
      <c r="W38" s="111"/>
      <c r="X38" s="111"/>
    </row>
    <row r="39" spans="1:24" ht="15" customHeight="1" x14ac:dyDescent="0.25">
      <c r="A39" s="7"/>
      <c r="B39" s="91" t="s">
        <v>13</v>
      </c>
      <c r="C39" s="107">
        <f ca="1">IF(C33 &lt; C24, C35, IF(AND(C33 &gt; C24, C33 &lt; C25), C36, IF(AND(C33 &gt; C25, C33 &lt; C26), C37, C38)))</f>
        <v>0.67719493333333336</v>
      </c>
      <c r="J39" s="8"/>
      <c r="K39" s="111"/>
      <c r="L39" s="123">
        <f t="shared" ca="1" si="3"/>
        <v>2.3000000000000007</v>
      </c>
      <c r="M39" s="118">
        <f t="shared" ca="1" si="4"/>
        <v>0.22460869565217387</v>
      </c>
      <c r="N39" s="123">
        <f t="shared" ca="1" si="5"/>
        <v>2.7000000000000015</v>
      </c>
      <c r="O39" s="118">
        <f t="shared" ca="1" si="6"/>
        <v>0.28699999999999987</v>
      </c>
      <c r="P39" s="111"/>
      <c r="Q39" s="132"/>
      <c r="R39" s="132"/>
      <c r="S39" s="111"/>
      <c r="T39" s="111"/>
      <c r="U39" s="111"/>
      <c r="V39" s="111"/>
      <c r="W39" s="111"/>
      <c r="X39" s="111"/>
    </row>
    <row r="40" spans="1:24" ht="15" customHeight="1" x14ac:dyDescent="0.2">
      <c r="A40" s="7"/>
      <c r="J40" s="8"/>
      <c r="K40" s="111"/>
      <c r="L40" s="123">
        <f t="shared" ref="L40:N56" ca="1" si="7">L39 + 0.2</f>
        <v>2.5000000000000009</v>
      </c>
      <c r="M40" s="118">
        <f t="shared" ca="1" si="4"/>
        <v>0.20663999999999996</v>
      </c>
      <c r="N40" s="123">
        <f t="shared" ca="1" si="7"/>
        <v>2.9000000000000017</v>
      </c>
      <c r="O40" s="118">
        <f t="shared" ca="1" si="6"/>
        <v>0.26720689655172403</v>
      </c>
      <c r="P40" s="111"/>
      <c r="Q40" s="132"/>
      <c r="R40" s="132"/>
      <c r="S40" s="111"/>
      <c r="T40" s="111"/>
      <c r="U40" s="111"/>
      <c r="V40" s="111"/>
      <c r="W40" s="111"/>
      <c r="X40" s="111"/>
    </row>
    <row r="41" spans="1:24" ht="15" customHeight="1" x14ac:dyDescent="0.2">
      <c r="A41" s="7"/>
      <c r="J41" s="8"/>
      <c r="K41" s="111"/>
      <c r="L41" s="123">
        <f t="shared" ca="1" si="7"/>
        <v>2.7000000000000011</v>
      </c>
      <c r="M41" s="118">
        <f t="shared" ca="1" si="4"/>
        <v>0.19133333333333327</v>
      </c>
      <c r="N41" s="123">
        <f t="shared" ca="1" si="7"/>
        <v>3.1000000000000019</v>
      </c>
      <c r="O41" s="118">
        <f t="shared" ca="1" si="6"/>
        <v>0.24996774193548377</v>
      </c>
      <c r="P41" s="111"/>
      <c r="Q41" s="132"/>
      <c r="R41" s="132"/>
      <c r="S41" s="111"/>
      <c r="T41" s="111"/>
      <c r="U41" s="111"/>
      <c r="V41" s="111"/>
      <c r="W41" s="111"/>
      <c r="X41" s="111"/>
    </row>
    <row r="42" spans="1:24" ht="15" customHeight="1" x14ac:dyDescent="0.2">
      <c r="A42" s="7"/>
      <c r="J42" s="8"/>
      <c r="K42" s="111"/>
      <c r="L42" s="123">
        <f t="shared" ca="1" si="7"/>
        <v>2.9000000000000012</v>
      </c>
      <c r="M42" s="118">
        <f t="shared" ca="1" si="4"/>
        <v>0.17813793103448269</v>
      </c>
      <c r="N42" s="123">
        <f t="shared" ca="1" si="7"/>
        <v>3.300000000000002</v>
      </c>
      <c r="O42" s="118">
        <f t="shared" ca="1" si="6"/>
        <v>0.2348181818181817</v>
      </c>
      <c r="P42" s="111"/>
      <c r="Q42" s="132"/>
      <c r="R42" s="132"/>
      <c r="S42" s="111"/>
      <c r="T42" s="111"/>
      <c r="U42" s="111"/>
      <c r="V42" s="111"/>
      <c r="W42" s="111"/>
      <c r="X42" s="111"/>
    </row>
    <row r="43" spans="1:24" ht="15" customHeight="1" x14ac:dyDescent="0.2">
      <c r="A43" s="7"/>
      <c r="J43" s="8"/>
      <c r="K43" s="111"/>
      <c r="L43" s="123">
        <f t="shared" ca="1" si="7"/>
        <v>3.1000000000000014</v>
      </c>
      <c r="M43" s="118">
        <f t="shared" ca="1" si="4"/>
        <v>0.16664516129032253</v>
      </c>
      <c r="N43" s="123">
        <f t="shared" ca="1" si="7"/>
        <v>3.5000000000000022</v>
      </c>
      <c r="O43" s="118">
        <f t="shared" ca="1" si="6"/>
        <v>0.22139999999999987</v>
      </c>
      <c r="P43" s="111"/>
      <c r="Q43" s="132"/>
      <c r="R43" s="132"/>
      <c r="S43" s="111"/>
      <c r="T43" s="111"/>
      <c r="U43" s="111"/>
      <c r="V43" s="111"/>
      <c r="W43" s="111"/>
      <c r="X43" s="111"/>
    </row>
    <row r="44" spans="1:24" ht="15" customHeight="1" x14ac:dyDescent="0.2">
      <c r="A44" s="7"/>
      <c r="J44" s="8"/>
      <c r="K44" s="111"/>
      <c r="L44" s="123">
        <f t="shared" ca="1" si="7"/>
        <v>3.3000000000000016</v>
      </c>
      <c r="M44" s="118">
        <f t="shared" ca="1" si="4"/>
        <v>0.15654545454545449</v>
      </c>
      <c r="N44" s="123">
        <f t="shared" ca="1" si="7"/>
        <v>3.7000000000000024</v>
      </c>
      <c r="O44" s="118">
        <f t="shared" ca="1" si="6"/>
        <v>0.20943243243243231</v>
      </c>
      <c r="P44" s="111"/>
      <c r="Q44" s="132"/>
      <c r="R44" s="132"/>
      <c r="S44" s="111"/>
      <c r="T44" s="111"/>
      <c r="U44" s="111"/>
      <c r="V44" s="111"/>
      <c r="W44" s="111"/>
      <c r="X44" s="111"/>
    </row>
    <row r="45" spans="1:24" ht="15" customHeight="1" x14ac:dyDescent="0.2">
      <c r="A45" s="7"/>
      <c r="J45" s="8"/>
      <c r="K45" s="111"/>
      <c r="L45" s="123">
        <f t="shared" ca="1" si="7"/>
        <v>3.5000000000000018</v>
      </c>
      <c r="M45" s="118">
        <f t="shared" ca="1" si="4"/>
        <v>0.14759999999999995</v>
      </c>
      <c r="N45" s="123">
        <f t="shared" ca="1" si="7"/>
        <v>3.9000000000000026</v>
      </c>
      <c r="O45" s="118">
        <f t="shared" ca="1" si="6"/>
        <v>0.19869230769230756</v>
      </c>
      <c r="P45" s="111"/>
      <c r="Q45" s="132"/>
      <c r="R45" s="132"/>
      <c r="S45" s="111"/>
      <c r="T45" s="111"/>
      <c r="U45" s="111"/>
      <c r="V45" s="111"/>
      <c r="W45" s="111"/>
      <c r="X45" s="111"/>
    </row>
    <row r="46" spans="1:24" ht="15" customHeight="1" x14ac:dyDescent="0.2">
      <c r="A46" s="7"/>
      <c r="J46" s="8"/>
      <c r="K46" s="111"/>
      <c r="L46" s="123">
        <f t="shared" ca="1" si="7"/>
        <v>3.700000000000002</v>
      </c>
      <c r="M46" s="118">
        <f t="shared" ca="1" si="4"/>
        <v>0.13962162162162156</v>
      </c>
      <c r="N46" s="123">
        <f t="shared" ca="1" si="7"/>
        <v>4.1000000000000023</v>
      </c>
      <c r="O46" s="118">
        <f t="shared" ca="1" si="6"/>
        <v>0.18899999999999992</v>
      </c>
      <c r="P46" s="111"/>
      <c r="Q46" s="132"/>
      <c r="R46" s="132"/>
      <c r="S46" s="111"/>
      <c r="T46" s="111"/>
      <c r="U46" s="111"/>
      <c r="V46" s="111"/>
      <c r="W46" s="111"/>
      <c r="X46" s="111"/>
    </row>
    <row r="47" spans="1:24" ht="15" customHeight="1" x14ac:dyDescent="0.2">
      <c r="A47" s="7"/>
      <c r="J47" s="8"/>
      <c r="K47" s="111"/>
      <c r="L47" s="123">
        <f t="shared" ca="1" si="7"/>
        <v>3.9000000000000021</v>
      </c>
      <c r="M47" s="118">
        <f t="shared" ca="1" si="4"/>
        <v>0.13246153846153841</v>
      </c>
      <c r="N47" s="123">
        <f t="shared" ca="1" si="7"/>
        <v>4.3000000000000025</v>
      </c>
      <c r="O47" s="118">
        <f t="shared" ca="1" si="6"/>
        <v>0.18020930232558133</v>
      </c>
      <c r="P47" s="111"/>
      <c r="Q47" s="132"/>
      <c r="R47" s="132"/>
      <c r="S47" s="111"/>
      <c r="T47" s="111"/>
      <c r="U47" s="111"/>
      <c r="V47" s="111"/>
      <c r="W47" s="111"/>
      <c r="X47" s="111"/>
    </row>
    <row r="48" spans="1:24" ht="15" customHeight="1" x14ac:dyDescent="0.2">
      <c r="A48" s="7"/>
      <c r="J48" s="8"/>
      <c r="K48" s="111"/>
      <c r="L48" s="123">
        <f t="shared" ca="1" si="7"/>
        <v>4.1000000000000023</v>
      </c>
      <c r="M48" s="118">
        <f t="shared" ca="1" si="4"/>
        <v>0.12599999999999995</v>
      </c>
      <c r="N48" s="123">
        <f t="shared" ca="1" si="7"/>
        <v>4.5000000000000027</v>
      </c>
      <c r="O48" s="118">
        <f t="shared" ca="1" si="6"/>
        <v>0.17219999999999991</v>
      </c>
      <c r="P48" s="111"/>
      <c r="Q48" s="132"/>
      <c r="R48" s="132"/>
      <c r="S48" s="111"/>
      <c r="T48" s="111"/>
      <c r="U48" s="111"/>
      <c r="V48" s="111"/>
      <c r="W48" s="111"/>
      <c r="X48" s="111"/>
    </row>
    <row r="49" spans="1:24" ht="15" customHeight="1" x14ac:dyDescent="0.2">
      <c r="A49" s="7"/>
      <c r="J49" s="8"/>
      <c r="K49" s="111"/>
      <c r="L49" s="123">
        <f t="shared" ca="1" si="7"/>
        <v>4.3000000000000025</v>
      </c>
      <c r="M49" s="118">
        <f t="shared" ca="1" si="4"/>
        <v>0.12013953488372088</v>
      </c>
      <c r="N49" s="123">
        <f t="shared" ca="1" si="7"/>
        <v>4.7000000000000028</v>
      </c>
      <c r="O49" s="118">
        <f t="shared" ca="1" si="6"/>
        <v>0.16487234042553184</v>
      </c>
      <c r="P49" s="111"/>
      <c r="Q49" s="132"/>
      <c r="R49" s="132"/>
      <c r="S49" s="111"/>
      <c r="T49" s="111"/>
      <c r="U49" s="111"/>
      <c r="V49" s="111"/>
      <c r="W49" s="111"/>
      <c r="X49" s="111"/>
    </row>
    <row r="50" spans="1:24" ht="15" customHeight="1" x14ac:dyDescent="0.2">
      <c r="A50" s="7"/>
      <c r="J50" s="8"/>
      <c r="K50" s="111"/>
      <c r="L50" s="123">
        <f t="shared" ca="1" si="7"/>
        <v>4.5000000000000027</v>
      </c>
      <c r="M50" s="118">
        <f t="shared" ca="1" si="4"/>
        <v>0.11479999999999994</v>
      </c>
      <c r="N50" s="123">
        <f t="shared" ca="1" si="7"/>
        <v>4.900000000000003</v>
      </c>
      <c r="O50" s="118">
        <f t="shared" ca="1" si="6"/>
        <v>0.15814285714285706</v>
      </c>
      <c r="P50" s="111"/>
      <c r="Q50" s="132"/>
      <c r="R50" s="132"/>
      <c r="S50" s="111"/>
      <c r="T50" s="111"/>
      <c r="U50" s="111"/>
      <c r="V50" s="111"/>
      <c r="W50" s="111"/>
      <c r="X50" s="111"/>
    </row>
    <row r="51" spans="1:24" ht="15" customHeight="1" x14ac:dyDescent="0.2">
      <c r="A51" s="7"/>
      <c r="J51" s="8"/>
      <c r="K51" s="111"/>
      <c r="L51" s="123">
        <f t="shared" ca="1" si="7"/>
        <v>4.7000000000000028</v>
      </c>
      <c r="M51" s="118">
        <f t="shared" ca="1" si="4"/>
        <v>0.10991489361702123</v>
      </c>
      <c r="N51" s="123">
        <f t="shared" ca="1" si="7"/>
        <v>5.1000000000000032</v>
      </c>
      <c r="O51" s="118">
        <f t="shared" ca="1" si="6"/>
        <v>0.15194117647058816</v>
      </c>
      <c r="P51" s="111"/>
      <c r="Q51" s="132"/>
      <c r="R51" s="132"/>
      <c r="S51" s="111"/>
      <c r="T51" s="111"/>
      <c r="U51" s="111"/>
      <c r="V51" s="111"/>
      <c r="W51" s="111"/>
      <c r="X51" s="111"/>
    </row>
    <row r="52" spans="1:24" ht="15" customHeight="1" x14ac:dyDescent="0.2">
      <c r="A52" s="7"/>
      <c r="J52" s="8"/>
      <c r="K52" s="111"/>
      <c r="L52" s="123">
        <f t="shared" ca="1" si="7"/>
        <v>4.900000000000003</v>
      </c>
      <c r="M52" s="118">
        <f t="shared" ca="1" si="4"/>
        <v>0.10542857142857137</v>
      </c>
      <c r="N52" s="123">
        <f t="shared" ca="1" si="7"/>
        <v>5.3000000000000034</v>
      </c>
      <c r="O52" s="118">
        <f t="shared" ca="1" si="6"/>
        <v>0.14620754716981124</v>
      </c>
      <c r="P52" s="111"/>
      <c r="Q52" s="132"/>
      <c r="R52" s="132"/>
      <c r="S52" s="111"/>
      <c r="T52" s="111"/>
      <c r="U52" s="111"/>
      <c r="V52" s="111"/>
      <c r="W52" s="111"/>
      <c r="X52" s="111"/>
    </row>
    <row r="53" spans="1:24" ht="15" customHeight="1" x14ac:dyDescent="0.2">
      <c r="A53" s="7"/>
      <c r="J53" s="8"/>
      <c r="K53" s="111"/>
      <c r="L53" s="123">
        <f t="shared" ca="1" si="7"/>
        <v>5.1000000000000032</v>
      </c>
      <c r="M53" s="118">
        <f t="shared" ca="1" si="4"/>
        <v>0.10129411764705877</v>
      </c>
      <c r="N53" s="123">
        <f t="shared" ca="1" si="7"/>
        <v>5.5000000000000036</v>
      </c>
      <c r="O53" s="118">
        <f t="shared" ca="1" si="6"/>
        <v>0.14089090909090901</v>
      </c>
      <c r="P53" s="111"/>
      <c r="Q53" s="132"/>
      <c r="R53" s="132"/>
      <c r="S53" s="111"/>
      <c r="T53" s="111"/>
      <c r="U53" s="111"/>
      <c r="V53" s="111"/>
      <c r="W53" s="111"/>
      <c r="X53" s="111"/>
    </row>
    <row r="54" spans="1:24" ht="15" customHeight="1" x14ac:dyDescent="0.2">
      <c r="A54" s="7"/>
      <c r="J54" s="8"/>
      <c r="K54" s="111"/>
      <c r="L54" s="123">
        <f t="shared" ca="1" si="7"/>
        <v>5.3000000000000034</v>
      </c>
      <c r="M54" s="118">
        <f t="shared" ca="1" si="4"/>
        <v>9.7471698113207494E-2</v>
      </c>
      <c r="N54" s="123">
        <f t="shared" ca="1" si="7"/>
        <v>5.7000000000000037</v>
      </c>
      <c r="O54" s="118">
        <f t="shared" ca="1" si="6"/>
        <v>0.13594736842105254</v>
      </c>
      <c r="P54" s="111"/>
      <c r="Q54" s="132"/>
      <c r="R54" s="132"/>
      <c r="S54" s="111"/>
      <c r="T54" s="111"/>
      <c r="U54" s="111"/>
      <c r="V54" s="111"/>
      <c r="W54" s="111"/>
      <c r="X54" s="111"/>
    </row>
    <row r="55" spans="1:24" ht="15" customHeight="1" x14ac:dyDescent="0.2">
      <c r="A55" s="7"/>
      <c r="J55" s="8"/>
      <c r="K55" s="111"/>
      <c r="L55" s="123">
        <f t="shared" ca="1" si="7"/>
        <v>5.5000000000000036</v>
      </c>
      <c r="M55" s="118">
        <f t="shared" ca="1" si="4"/>
        <v>9.3927272727272679E-2</v>
      </c>
      <c r="N55" s="123">
        <f t="shared" ca="1" si="7"/>
        <v>5.9000000000000039</v>
      </c>
      <c r="O55" s="118">
        <f t="shared" ca="1" si="6"/>
        <v>0.13133898305084737</v>
      </c>
      <c r="P55" s="111"/>
      <c r="Q55" s="132"/>
      <c r="R55" s="132"/>
      <c r="S55" s="111"/>
      <c r="T55" s="111"/>
      <c r="U55" s="111"/>
      <c r="V55" s="111"/>
      <c r="W55" s="111"/>
      <c r="X55" s="111"/>
    </row>
    <row r="56" spans="1:24" ht="15" customHeight="1" x14ac:dyDescent="0.2">
      <c r="A56" s="7"/>
      <c r="J56" s="8"/>
      <c r="K56" s="111"/>
      <c r="L56" s="123">
        <f t="shared" ca="1" si="7"/>
        <v>5.7000000000000037</v>
      </c>
      <c r="M56" s="118">
        <f t="shared" ca="1" si="4"/>
        <v>9.0631578947368369E-2</v>
      </c>
      <c r="N56" s="123">
        <f t="shared" ca="1" si="7"/>
        <v>6.1000000000000041</v>
      </c>
      <c r="O56" s="118">
        <f t="shared" ca="1" si="6"/>
        <v>0.12703278688524583</v>
      </c>
      <c r="P56" s="111"/>
      <c r="Q56" s="132"/>
      <c r="R56" s="132"/>
      <c r="S56" s="111"/>
      <c r="T56" s="111"/>
      <c r="U56" s="111"/>
      <c r="V56" s="111"/>
      <c r="W56" s="111"/>
      <c r="X56" s="111"/>
    </row>
    <row r="57" spans="1:24" ht="15" customHeight="1" x14ac:dyDescent="0.2">
      <c r="A57" s="3"/>
      <c r="B57" s="4"/>
      <c r="C57" s="4"/>
      <c r="D57" s="4"/>
      <c r="E57" s="4"/>
      <c r="F57" s="4"/>
      <c r="G57" s="4"/>
      <c r="H57" s="4"/>
      <c r="I57" s="4"/>
      <c r="J57" s="5"/>
      <c r="K57" s="111"/>
      <c r="L57" s="123">
        <f t="shared" ref="L57:N65" ca="1" si="8">L56 + 0.2</f>
        <v>5.9000000000000039</v>
      </c>
      <c r="M57" s="118">
        <f t="shared" ca="1" si="4"/>
        <v>8.7559322033898254E-2</v>
      </c>
      <c r="N57" s="123">
        <f t="shared" ca="1" si="8"/>
        <v>6.3000000000000043</v>
      </c>
      <c r="O57" s="118">
        <f t="shared" ca="1" si="6"/>
        <v>0.12299999999999991</v>
      </c>
      <c r="P57" s="111"/>
      <c r="Q57" s="132"/>
      <c r="R57" s="132"/>
      <c r="S57" s="111"/>
      <c r="T57" s="111"/>
      <c r="U57" s="111"/>
      <c r="V57" s="111"/>
      <c r="W57" s="111"/>
      <c r="X57" s="111"/>
    </row>
    <row r="58" spans="1:24" ht="15" customHeight="1" x14ac:dyDescent="0.2">
      <c r="A58" s="111"/>
      <c r="B58" s="111"/>
      <c r="C58" s="111"/>
      <c r="D58" s="111"/>
      <c r="E58" s="111"/>
      <c r="F58" s="111"/>
      <c r="G58" s="111"/>
      <c r="H58" s="111"/>
      <c r="I58" s="111"/>
      <c r="J58" s="111"/>
      <c r="K58" s="111"/>
      <c r="L58" s="123">
        <f t="shared" ca="1" si="8"/>
        <v>6.1000000000000041</v>
      </c>
      <c r="M58" s="118">
        <f t="shared" ca="1" si="4"/>
        <v>8.4688524590163891E-2</v>
      </c>
      <c r="N58" s="123">
        <f t="shared" ca="1" si="8"/>
        <v>6.5000000000000044</v>
      </c>
      <c r="O58" s="118">
        <f t="shared" ca="1" si="6"/>
        <v>0.11921538461538454</v>
      </c>
      <c r="P58" s="111"/>
      <c r="Q58" s="132"/>
      <c r="R58" s="132"/>
      <c r="S58" s="111"/>
      <c r="T58" s="111"/>
      <c r="U58" s="111"/>
      <c r="V58" s="111"/>
      <c r="W58" s="111"/>
      <c r="X58" s="111"/>
    </row>
    <row r="59" spans="1:24" ht="15" customHeight="1" x14ac:dyDescent="0.2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23">
        <f ca="1">L58 + 0.2</f>
        <v>6.3000000000000043</v>
      </c>
      <c r="M59" s="118">
        <f t="shared" ca="1" si="4"/>
        <v>8.1999999999999948E-2</v>
      </c>
      <c r="N59" s="123">
        <f ca="1">N58 + 0.2</f>
        <v>6.7000000000000046</v>
      </c>
      <c r="O59" s="118">
        <f t="shared" ca="1" si="6"/>
        <v>0.11565671641791038</v>
      </c>
      <c r="P59" s="111"/>
      <c r="Q59" s="132"/>
      <c r="R59" s="132"/>
      <c r="S59" s="111"/>
      <c r="T59" s="111"/>
      <c r="U59" s="111"/>
      <c r="V59" s="111"/>
      <c r="W59" s="111"/>
      <c r="X59" s="111"/>
    </row>
    <row r="60" spans="1:24" ht="15" customHeight="1" x14ac:dyDescent="0.2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23">
        <f t="shared" ca="1" si="8"/>
        <v>6.5000000000000044</v>
      </c>
      <c r="M60" s="118">
        <f t="shared" ca="1" si="4"/>
        <v>7.9476923076923028E-2</v>
      </c>
      <c r="N60" s="123">
        <f t="shared" ca="1" si="8"/>
        <v>6.9000000000000048</v>
      </c>
      <c r="O60" s="118">
        <f t="shared" ca="1" si="6"/>
        <v>0.11230434782608689</v>
      </c>
      <c r="P60" s="111"/>
      <c r="Q60" s="132"/>
      <c r="R60" s="132"/>
      <c r="S60" s="111"/>
      <c r="T60" s="111"/>
      <c r="U60" s="111"/>
      <c r="V60" s="111"/>
      <c r="W60" s="111"/>
      <c r="X60" s="111"/>
    </row>
    <row r="61" spans="1:24" ht="15" customHeight="1" x14ac:dyDescent="0.2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23">
        <f t="shared" ca="1" si="8"/>
        <v>6.7000000000000046</v>
      </c>
      <c r="M61" s="118">
        <f t="shared" ca="1" si="4"/>
        <v>7.7104477611940253E-2</v>
      </c>
      <c r="N61" s="123">
        <f t="shared" ca="1" si="8"/>
        <v>7.100000000000005</v>
      </c>
      <c r="O61" s="118">
        <f t="shared" ca="1" si="6"/>
        <v>0.10914084507042249</v>
      </c>
      <c r="P61" s="111"/>
      <c r="Q61" s="132"/>
      <c r="R61" s="132"/>
      <c r="S61" s="111"/>
      <c r="T61" s="111"/>
      <c r="U61" s="111"/>
      <c r="V61" s="111"/>
      <c r="W61" s="111"/>
      <c r="X61" s="111"/>
    </row>
    <row r="62" spans="1:24" ht="15" customHeight="1" x14ac:dyDescent="0.2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23">
        <f t="shared" ca="1" si="8"/>
        <v>6.9000000000000048</v>
      </c>
      <c r="M62" s="118">
        <f t="shared" ca="1" si="4"/>
        <v>7.4869565217391257E-2</v>
      </c>
      <c r="N62" s="123">
        <f t="shared" ca="1" si="8"/>
        <v>7.3000000000000052</v>
      </c>
      <c r="O62" s="118">
        <f t="shared" ca="1" si="6"/>
        <v>0.10615068493150678</v>
      </c>
      <c r="P62" s="111"/>
      <c r="Q62" s="132"/>
      <c r="R62" s="132"/>
      <c r="S62" s="111"/>
      <c r="T62" s="111"/>
      <c r="U62" s="111"/>
      <c r="V62" s="111"/>
      <c r="W62" s="111"/>
      <c r="X62" s="111"/>
    </row>
    <row r="63" spans="1:24" ht="15" customHeight="1" x14ac:dyDescent="0.2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23">
        <f t="shared" ca="1" si="8"/>
        <v>7.100000000000005</v>
      </c>
      <c r="M63" s="118">
        <f t="shared" ca="1" si="4"/>
        <v>7.2760563380281654E-2</v>
      </c>
      <c r="N63" s="123">
        <f t="shared" ca="1" si="8"/>
        <v>7.5000000000000053</v>
      </c>
      <c r="O63" s="118">
        <f t="shared" ca="1" si="6"/>
        <v>0.10331999999999994</v>
      </c>
      <c r="P63" s="111"/>
      <c r="Q63" s="132"/>
      <c r="R63" s="132"/>
      <c r="S63" s="111"/>
      <c r="T63" s="111"/>
      <c r="U63" s="111"/>
      <c r="V63" s="111"/>
      <c r="W63" s="111"/>
      <c r="X63" s="111"/>
    </row>
    <row r="64" spans="1:24" ht="15" customHeight="1" x14ac:dyDescent="0.2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23">
        <f t="shared" ca="1" si="8"/>
        <v>7.3000000000000052</v>
      </c>
      <c r="M64" s="118">
        <f t="shared" ca="1" si="4"/>
        <v>7.0767123287671194E-2</v>
      </c>
      <c r="N64" s="123">
        <f t="shared" ca="1" si="8"/>
        <v>7.7000000000000055</v>
      </c>
      <c r="O64" s="118">
        <f t="shared" ca="1" si="6"/>
        <v>0.10063636363636358</v>
      </c>
      <c r="P64" s="111"/>
      <c r="Q64" s="132"/>
      <c r="R64" s="132"/>
      <c r="S64" s="111"/>
      <c r="T64" s="111"/>
      <c r="U64" s="111"/>
      <c r="V64" s="111"/>
      <c r="W64" s="111"/>
      <c r="X64" s="111"/>
    </row>
    <row r="65" spans="1:24" ht="15" customHeight="1" x14ac:dyDescent="0.2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23">
        <f t="shared" ca="1" si="8"/>
        <v>7.5000000000000053</v>
      </c>
      <c r="M65" s="118">
        <f t="shared" ca="1" si="4"/>
        <v>6.8879999999999955E-2</v>
      </c>
      <c r="N65" s="123">
        <f t="shared" ca="1" si="8"/>
        <v>7.9000000000000057</v>
      </c>
      <c r="O65" s="118">
        <f t="shared" ca="1" si="6"/>
        <v>9.808860759493665E-2</v>
      </c>
      <c r="P65" s="111"/>
      <c r="Q65" s="132"/>
      <c r="R65" s="132"/>
      <c r="S65" s="111"/>
      <c r="T65" s="111"/>
      <c r="U65" s="111"/>
      <c r="V65" s="111"/>
      <c r="W65" s="111"/>
      <c r="X65" s="111"/>
    </row>
    <row r="66" spans="1:24" ht="15" customHeight="1" x14ac:dyDescent="0.2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23">
        <f ca="1">L65 + 0.2</f>
        <v>7.7000000000000055</v>
      </c>
      <c r="M66" s="118">
        <f t="shared" ca="1" si="4"/>
        <v>6.7090909090909048E-2</v>
      </c>
      <c r="N66" s="123">
        <f ca="1">N65 + 0.2</f>
        <v>8.100000000000005</v>
      </c>
      <c r="O66" s="118">
        <f t="shared" ca="1" si="6"/>
        <v>9.5666666666666622E-2</v>
      </c>
      <c r="P66" s="111"/>
      <c r="Q66" s="132"/>
      <c r="R66" s="132"/>
      <c r="S66" s="111"/>
      <c r="T66" s="111"/>
      <c r="U66" s="111"/>
      <c r="V66" s="111"/>
      <c r="W66" s="111"/>
      <c r="X66" s="111"/>
    </row>
    <row r="67" spans="1:24" ht="15" customHeight="1" x14ac:dyDescent="0.2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23">
        <f ca="1">L66 + 0.2</f>
        <v>7.9000000000000057</v>
      </c>
      <c r="M67" s="118">
        <f t="shared" ca="1" si="4"/>
        <v>6.5392405063291095E-2</v>
      </c>
      <c r="N67" s="123">
        <f ca="1">N66 + 0.2</f>
        <v>8.3000000000000043</v>
      </c>
      <c r="O67" s="118">
        <f t="shared" ca="1" si="6"/>
        <v>9.3361445783132491E-2</v>
      </c>
      <c r="P67" s="111"/>
      <c r="Q67" s="132"/>
      <c r="R67" s="132"/>
      <c r="S67" s="111"/>
      <c r="T67" s="111"/>
      <c r="U67" s="111"/>
      <c r="V67" s="111"/>
      <c r="W67" s="111"/>
      <c r="X67" s="111"/>
    </row>
    <row r="68" spans="1:24" ht="15" customHeight="1" x14ac:dyDescent="0.2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23">
        <f ca="1">L67 + 0.2</f>
        <v>8.100000000000005</v>
      </c>
      <c r="M68" s="118">
        <f t="shared" ca="1" si="4"/>
        <v>6.3777777777777753E-2</v>
      </c>
      <c r="N68" s="123">
        <f ca="1">N67 + 0.2</f>
        <v>8.5000000000000036</v>
      </c>
      <c r="O68" s="118">
        <f t="shared" ca="1" si="6"/>
        <v>9.1164705882352925E-2</v>
      </c>
      <c r="P68" s="111"/>
      <c r="Q68" s="132"/>
      <c r="R68" s="132"/>
      <c r="S68" s="111"/>
      <c r="T68" s="111"/>
      <c r="U68" s="111"/>
      <c r="V68" s="111"/>
      <c r="W68" s="111"/>
      <c r="X68" s="111"/>
    </row>
    <row r="69" spans="1:24" ht="15" customHeight="1" x14ac:dyDescent="0.2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25">
        <f ca="1">L68 + 0.2</f>
        <v>8.3000000000000043</v>
      </c>
      <c r="M69" s="133">
        <f t="shared" ca="1" si="4"/>
        <v>6.224096385542166E-2</v>
      </c>
      <c r="N69" s="125">
        <f ca="1">N68 + 0.2</f>
        <v>8.7000000000000028</v>
      </c>
      <c r="O69" s="133">
        <f t="shared" ca="1" si="6"/>
        <v>8.9068965517241361E-2</v>
      </c>
      <c r="P69" s="111"/>
      <c r="Q69" s="132"/>
      <c r="R69" s="132"/>
      <c r="S69" s="111"/>
      <c r="T69" s="111"/>
      <c r="U69" s="111"/>
      <c r="V69" s="111"/>
      <c r="W69" s="111"/>
      <c r="X69" s="111"/>
    </row>
    <row r="70" spans="1:24" ht="15" customHeight="1" x14ac:dyDescent="0.2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32"/>
      <c r="R70" s="132"/>
      <c r="S70" s="111"/>
      <c r="T70" s="111"/>
      <c r="U70" s="111"/>
      <c r="V70" s="111"/>
      <c r="W70" s="111"/>
      <c r="X70" s="111"/>
    </row>
    <row r="71" spans="1:24" ht="15" customHeight="1" x14ac:dyDescent="0.2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</row>
    <row r="72" spans="1:24" ht="15" customHeight="1" x14ac:dyDescent="0.2">
      <c r="A72" s="111"/>
      <c r="B72" s="111"/>
      <c r="C72" s="111"/>
      <c r="D72" s="111"/>
      <c r="E72" s="111"/>
      <c r="F72" s="111"/>
      <c r="G72" s="111"/>
      <c r="H72" s="111"/>
      <c r="I72" s="111"/>
      <c r="J72" s="111"/>
      <c r="K72" s="111"/>
      <c r="L72" s="111"/>
      <c r="M72" s="111"/>
      <c r="N72" s="111"/>
      <c r="O72" s="111"/>
      <c r="P72" s="111"/>
      <c r="Q72" s="111"/>
      <c r="R72" s="111"/>
      <c r="S72" s="111"/>
      <c r="T72" s="111"/>
      <c r="U72" s="111"/>
      <c r="V72" s="111"/>
      <c r="W72" s="111"/>
      <c r="X72" s="111"/>
    </row>
    <row r="73" spans="1:24" ht="15" customHeight="1" x14ac:dyDescent="0.2">
      <c r="A73" s="111"/>
      <c r="B73" s="111"/>
      <c r="C73" s="111"/>
      <c r="D73" s="111"/>
      <c r="E73" s="111"/>
      <c r="F73" s="111"/>
      <c r="G73" s="111"/>
      <c r="H73" s="111"/>
      <c r="I73" s="111"/>
      <c r="J73" s="111"/>
      <c r="K73" s="111"/>
      <c r="L73" s="111"/>
      <c r="M73" s="111"/>
      <c r="N73" s="111"/>
      <c r="O73" s="111"/>
      <c r="P73" s="111"/>
      <c r="Q73" s="111"/>
      <c r="R73" s="111"/>
      <c r="S73" s="111"/>
      <c r="T73" s="111"/>
      <c r="U73" s="111"/>
      <c r="V73" s="111"/>
      <c r="W73" s="111"/>
      <c r="X73" s="111"/>
    </row>
    <row r="74" spans="1:24" ht="15" customHeight="1" x14ac:dyDescent="0.2">
      <c r="A74" s="111"/>
      <c r="B74" s="111"/>
      <c r="C74" s="111"/>
      <c r="D74" s="111"/>
      <c r="E74" s="111"/>
      <c r="F74" s="111"/>
      <c r="G74" s="111"/>
      <c r="H74" s="111"/>
      <c r="I74" s="111"/>
      <c r="J74" s="111"/>
      <c r="K74" s="111"/>
      <c r="L74" s="111"/>
      <c r="M74" s="111"/>
      <c r="N74" s="111"/>
      <c r="O74" s="111"/>
      <c r="P74" s="111"/>
      <c r="Q74" s="111"/>
      <c r="R74" s="111"/>
      <c r="S74" s="111"/>
      <c r="T74" s="111"/>
      <c r="U74" s="111"/>
      <c r="V74" s="111"/>
      <c r="W74" s="111"/>
      <c r="X74" s="111"/>
    </row>
    <row r="75" spans="1:24" s="111" customFormat="1" ht="15" customHeight="1" x14ac:dyDescent="0.2"/>
    <row r="76" spans="1:24" s="111" customFormat="1" x14ac:dyDescent="0.2"/>
    <row r="77" spans="1:24" s="111" customFormat="1" x14ac:dyDescent="0.2"/>
    <row r="78" spans="1:24" s="111" customFormat="1" x14ac:dyDescent="0.2"/>
    <row r="79" spans="1:24" s="111" customFormat="1" x14ac:dyDescent="0.2"/>
    <row r="80" spans="1:24" s="111" customFormat="1" x14ac:dyDescent="0.2"/>
    <row r="81" s="111" customFormat="1" x14ac:dyDescent="0.2"/>
    <row r="82" s="111" customFormat="1" x14ac:dyDescent="0.2"/>
    <row r="83" s="111" customFormat="1" x14ac:dyDescent="0.2"/>
    <row r="84" s="111" customFormat="1" x14ac:dyDescent="0.2"/>
    <row r="85" s="111" customFormat="1" x14ac:dyDescent="0.2"/>
    <row r="86" s="111" customFormat="1" x14ac:dyDescent="0.2"/>
    <row r="87" s="111" customFormat="1" x14ac:dyDescent="0.2"/>
    <row r="88" s="111" customFormat="1" x14ac:dyDescent="0.2"/>
    <row r="89" s="111" customFormat="1" x14ac:dyDescent="0.2"/>
    <row r="90" s="111" customFormat="1" x14ac:dyDescent="0.2"/>
    <row r="91" s="111" customFormat="1" x14ac:dyDescent="0.2"/>
    <row r="92" s="111" customFormat="1" x14ac:dyDescent="0.2"/>
    <row r="93" s="111" customFormat="1" x14ac:dyDescent="0.2"/>
    <row r="94" s="111" customFormat="1" x14ac:dyDescent="0.2"/>
    <row r="95" s="111" customFormat="1" x14ac:dyDescent="0.2"/>
    <row r="96" s="111" customFormat="1" x14ac:dyDescent="0.2"/>
    <row r="97" s="111" customFormat="1" x14ac:dyDescent="0.2"/>
    <row r="98" s="111" customFormat="1" x14ac:dyDescent="0.2"/>
    <row r="99" s="111" customFormat="1" x14ac:dyDescent="0.2"/>
    <row r="100" s="111" customFormat="1" x14ac:dyDescent="0.2"/>
    <row r="101" s="111" customFormat="1" x14ac:dyDescent="0.2"/>
    <row r="102" s="111" customFormat="1" x14ac:dyDescent="0.2"/>
    <row r="103" s="111" customFormat="1" x14ac:dyDescent="0.2"/>
    <row r="104" s="111" customFormat="1" x14ac:dyDescent="0.2"/>
    <row r="105" s="111" customFormat="1" x14ac:dyDescent="0.2"/>
    <row r="106" s="111" customFormat="1" x14ac:dyDescent="0.2"/>
    <row r="107" s="111" customFormat="1" x14ac:dyDescent="0.2"/>
    <row r="108" s="111" customFormat="1" x14ac:dyDescent="0.2"/>
    <row r="109" s="111" customFormat="1" x14ac:dyDescent="0.2"/>
    <row r="110" s="111" customFormat="1" x14ac:dyDescent="0.2"/>
    <row r="111" s="111" customFormat="1" x14ac:dyDescent="0.2"/>
    <row r="112" s="111" customFormat="1" x14ac:dyDescent="0.2"/>
    <row r="113" s="111" customFormat="1" x14ac:dyDescent="0.2"/>
    <row r="114" s="111" customFormat="1" x14ac:dyDescent="0.2"/>
    <row r="115" s="111" customFormat="1" x14ac:dyDescent="0.2"/>
    <row r="116" s="111" customFormat="1" x14ac:dyDescent="0.2"/>
    <row r="117" s="111" customFormat="1" x14ac:dyDescent="0.2"/>
    <row r="118" s="111" customFormat="1" x14ac:dyDescent="0.2"/>
    <row r="119" s="111" customFormat="1" x14ac:dyDescent="0.2"/>
    <row r="120" s="111" customFormat="1" x14ac:dyDescent="0.2"/>
    <row r="121" s="111" customFormat="1" x14ac:dyDescent="0.2"/>
    <row r="122" s="111" customFormat="1" x14ac:dyDescent="0.2"/>
    <row r="123" s="111" customFormat="1" x14ac:dyDescent="0.2"/>
    <row r="124" s="111" customFormat="1" x14ac:dyDescent="0.2"/>
    <row r="125" s="111" customFormat="1" x14ac:dyDescent="0.2"/>
    <row r="126" s="111" customFormat="1" x14ac:dyDescent="0.2"/>
    <row r="127" s="111" customFormat="1" x14ac:dyDescent="0.2"/>
    <row r="128" s="111" customFormat="1" x14ac:dyDescent="0.2"/>
    <row r="129" s="111" customFormat="1" x14ac:dyDescent="0.2"/>
    <row r="130" s="111" customFormat="1" x14ac:dyDescent="0.2"/>
    <row r="131" s="111" customFormat="1" x14ac:dyDescent="0.2"/>
    <row r="132" s="111" customFormat="1" x14ac:dyDescent="0.2"/>
    <row r="133" s="111" customFormat="1" x14ac:dyDescent="0.2"/>
    <row r="134" s="111" customFormat="1" x14ac:dyDescent="0.2"/>
    <row r="135" s="111" customFormat="1" x14ac:dyDescent="0.2"/>
    <row r="136" s="111" customFormat="1" x14ac:dyDescent="0.2"/>
    <row r="137" s="111" customFormat="1" x14ac:dyDescent="0.2"/>
    <row r="138" s="111" customFormat="1" x14ac:dyDescent="0.2"/>
    <row r="139" s="111" customFormat="1" x14ac:dyDescent="0.2"/>
    <row r="140" s="111" customFormat="1" x14ac:dyDescent="0.2"/>
    <row r="141" s="111" customFormat="1" x14ac:dyDescent="0.2"/>
    <row r="142" s="111" customFormat="1" x14ac:dyDescent="0.2"/>
    <row r="143" s="111" customFormat="1" x14ac:dyDescent="0.2"/>
    <row r="144" s="111" customFormat="1" x14ac:dyDescent="0.2"/>
    <row r="145" s="111" customFormat="1" x14ac:dyDescent="0.2"/>
    <row r="146" s="111" customFormat="1" x14ac:dyDescent="0.2"/>
    <row r="147" s="111" customFormat="1" x14ac:dyDescent="0.2"/>
    <row r="148" s="111" customFormat="1" x14ac:dyDescent="0.2"/>
    <row r="149" s="111" customFormat="1" x14ac:dyDescent="0.2"/>
    <row r="150" s="111" customFormat="1" x14ac:dyDescent="0.2"/>
    <row r="151" s="111" customFormat="1" x14ac:dyDescent="0.2"/>
    <row r="152" s="111" customFormat="1" x14ac:dyDescent="0.2"/>
    <row r="153" s="111" customFormat="1" x14ac:dyDescent="0.2"/>
    <row r="154" s="111" customFormat="1" x14ac:dyDescent="0.2"/>
    <row r="155" s="111" customFormat="1" x14ac:dyDescent="0.2"/>
    <row r="156" s="111" customFormat="1" x14ac:dyDescent="0.2"/>
    <row r="157" s="111" customFormat="1" x14ac:dyDescent="0.2"/>
    <row r="158" s="111" customFormat="1" x14ac:dyDescent="0.2"/>
    <row r="159" s="111" customFormat="1" x14ac:dyDescent="0.2"/>
    <row r="160" s="111" customFormat="1" x14ac:dyDescent="0.2"/>
    <row r="161" s="111" customFormat="1" x14ac:dyDescent="0.2"/>
    <row r="162" s="111" customFormat="1" x14ac:dyDescent="0.2"/>
    <row r="163" s="111" customFormat="1" x14ac:dyDescent="0.2"/>
    <row r="164" s="111" customFormat="1" x14ac:dyDescent="0.2"/>
    <row r="165" s="111" customFormat="1" x14ac:dyDescent="0.2"/>
    <row r="166" s="111" customFormat="1" x14ac:dyDescent="0.2"/>
    <row r="167" s="111" customFormat="1" x14ac:dyDescent="0.2"/>
    <row r="168" s="111" customFormat="1" x14ac:dyDescent="0.2"/>
    <row r="169" s="111" customFormat="1" x14ac:dyDescent="0.2"/>
    <row r="170" s="111" customFormat="1" x14ac:dyDescent="0.2"/>
    <row r="171" s="111" customFormat="1" x14ac:dyDescent="0.2"/>
    <row r="172" s="111" customFormat="1" x14ac:dyDescent="0.2"/>
    <row r="173" s="111" customFormat="1" x14ac:dyDescent="0.2"/>
    <row r="174" s="111" customFormat="1" x14ac:dyDescent="0.2"/>
    <row r="175" s="111" customFormat="1" x14ac:dyDescent="0.2"/>
    <row r="176" s="111" customFormat="1" x14ac:dyDescent="0.2"/>
    <row r="177" s="111" customFormat="1" x14ac:dyDescent="0.2"/>
    <row r="178" s="111" customFormat="1" x14ac:dyDescent="0.2"/>
    <row r="179" s="111" customFormat="1" x14ac:dyDescent="0.2"/>
    <row r="180" s="111" customFormat="1" x14ac:dyDescent="0.2"/>
    <row r="181" s="111" customFormat="1" x14ac:dyDescent="0.2"/>
    <row r="182" s="111" customFormat="1" x14ac:dyDescent="0.2"/>
    <row r="183" s="111" customFormat="1" x14ac:dyDescent="0.2"/>
    <row r="184" s="111" customFormat="1" x14ac:dyDescent="0.2"/>
    <row r="185" s="111" customFormat="1" x14ac:dyDescent="0.2"/>
    <row r="186" s="111" customFormat="1" x14ac:dyDescent="0.2"/>
    <row r="187" s="111" customFormat="1" x14ac:dyDescent="0.2"/>
    <row r="188" s="111" customFormat="1" x14ac:dyDescent="0.2"/>
    <row r="189" s="111" customFormat="1" x14ac:dyDescent="0.2"/>
    <row r="190" s="111" customFormat="1" x14ac:dyDescent="0.2"/>
    <row r="191" s="111" customFormat="1" x14ac:dyDescent="0.2"/>
    <row r="192" s="111" customFormat="1" x14ac:dyDescent="0.2"/>
    <row r="193" s="111" customFormat="1" x14ac:dyDescent="0.2"/>
    <row r="194" s="111" customFormat="1" x14ac:dyDescent="0.2"/>
    <row r="195" s="111" customFormat="1" x14ac:dyDescent="0.2"/>
    <row r="196" s="111" customFormat="1" x14ac:dyDescent="0.2"/>
    <row r="197" s="111" customFormat="1" x14ac:dyDescent="0.2"/>
    <row r="198" s="111" customFormat="1" x14ac:dyDescent="0.2"/>
    <row r="199" s="111" customFormat="1" x14ac:dyDescent="0.2"/>
    <row r="200" s="111" customFormat="1" x14ac:dyDescent="0.2"/>
    <row r="201" s="111" customFormat="1" x14ac:dyDescent="0.2"/>
    <row r="202" s="111" customFormat="1" x14ac:dyDescent="0.2"/>
    <row r="203" s="111" customFormat="1" x14ac:dyDescent="0.2"/>
    <row r="204" s="111" customFormat="1" x14ac:dyDescent="0.2"/>
    <row r="205" s="111" customFormat="1" x14ac:dyDescent="0.2"/>
    <row r="206" s="111" customFormat="1" x14ac:dyDescent="0.2"/>
    <row r="207" s="111" customFormat="1" x14ac:dyDescent="0.2"/>
    <row r="208" s="111" customFormat="1" x14ac:dyDescent="0.2"/>
    <row r="209" s="111" customFormat="1" x14ac:dyDescent="0.2"/>
    <row r="210" s="111" customFormat="1" x14ac:dyDescent="0.2"/>
    <row r="211" s="111" customFormat="1" x14ac:dyDescent="0.2"/>
    <row r="212" s="111" customFormat="1" x14ac:dyDescent="0.2"/>
    <row r="213" s="111" customFormat="1" x14ac:dyDescent="0.2"/>
    <row r="214" s="111" customFormat="1" x14ac:dyDescent="0.2"/>
    <row r="215" s="111" customFormat="1" x14ac:dyDescent="0.2"/>
    <row r="216" s="111" customFormat="1" x14ac:dyDescent="0.2"/>
    <row r="217" s="111" customFormat="1" x14ac:dyDescent="0.2"/>
    <row r="218" s="111" customFormat="1" x14ac:dyDescent="0.2"/>
    <row r="219" s="111" customFormat="1" x14ac:dyDescent="0.2"/>
    <row r="220" s="111" customFormat="1" x14ac:dyDescent="0.2"/>
    <row r="221" s="111" customFormat="1" x14ac:dyDescent="0.2"/>
    <row r="222" s="111" customFormat="1" x14ac:dyDescent="0.2"/>
    <row r="223" s="111" customFormat="1" x14ac:dyDescent="0.2"/>
    <row r="224" s="111" customFormat="1" x14ac:dyDescent="0.2"/>
    <row r="225" s="111" customFormat="1" x14ac:dyDescent="0.2"/>
    <row r="226" s="111" customFormat="1" x14ac:dyDescent="0.2"/>
    <row r="227" s="111" customFormat="1" x14ac:dyDescent="0.2"/>
    <row r="228" s="111" customFormat="1" x14ac:dyDescent="0.2"/>
    <row r="229" s="111" customFormat="1" x14ac:dyDescent="0.2"/>
    <row r="230" s="111" customFormat="1" x14ac:dyDescent="0.2"/>
    <row r="231" s="111" customFormat="1" x14ac:dyDescent="0.2"/>
    <row r="232" s="111" customFormat="1" x14ac:dyDescent="0.2"/>
    <row r="233" s="111" customFormat="1" x14ac:dyDescent="0.2"/>
    <row r="234" s="111" customFormat="1" x14ac:dyDescent="0.2"/>
    <row r="235" s="111" customFormat="1" x14ac:dyDescent="0.2"/>
    <row r="236" s="111" customFormat="1" x14ac:dyDescent="0.2"/>
    <row r="237" s="111" customFormat="1" x14ac:dyDescent="0.2"/>
    <row r="238" s="111" customFormat="1" x14ac:dyDescent="0.2"/>
    <row r="239" s="111" customFormat="1" x14ac:dyDescent="0.2"/>
    <row r="240" s="111" customFormat="1" x14ac:dyDescent="0.2"/>
    <row r="241" s="111" customFormat="1" x14ac:dyDescent="0.2"/>
    <row r="242" s="111" customFormat="1" x14ac:dyDescent="0.2"/>
    <row r="243" s="111" customFormat="1" x14ac:dyDescent="0.2"/>
    <row r="244" s="111" customFormat="1" x14ac:dyDescent="0.2"/>
    <row r="245" s="111" customFormat="1" x14ac:dyDescent="0.2"/>
    <row r="246" s="111" customFormat="1" x14ac:dyDescent="0.2"/>
    <row r="247" s="111" customFormat="1" x14ac:dyDescent="0.2"/>
    <row r="248" s="111" customFormat="1" x14ac:dyDescent="0.2"/>
    <row r="249" s="111" customFormat="1" x14ac:dyDescent="0.2"/>
    <row r="250" s="111" customFormat="1" x14ac:dyDescent="0.2"/>
    <row r="251" s="111" customFormat="1" x14ac:dyDescent="0.2"/>
    <row r="252" s="111" customFormat="1" x14ac:dyDescent="0.2"/>
    <row r="253" s="111" customFormat="1" x14ac:dyDescent="0.2"/>
    <row r="254" s="111" customFormat="1" x14ac:dyDescent="0.2"/>
    <row r="255" s="111" customFormat="1" x14ac:dyDescent="0.2"/>
    <row r="256" s="111" customFormat="1" x14ac:dyDescent="0.2"/>
    <row r="257" s="111" customFormat="1" x14ac:dyDescent="0.2"/>
    <row r="258" s="111" customFormat="1" x14ac:dyDescent="0.2"/>
    <row r="259" s="111" customFormat="1" x14ac:dyDescent="0.2"/>
    <row r="260" s="111" customFormat="1" x14ac:dyDescent="0.2"/>
    <row r="261" s="111" customFormat="1" x14ac:dyDescent="0.2"/>
    <row r="262" s="111" customFormat="1" x14ac:dyDescent="0.2"/>
    <row r="263" s="111" customFormat="1" x14ac:dyDescent="0.2"/>
    <row r="264" s="111" customFormat="1" x14ac:dyDescent="0.2"/>
    <row r="265" s="111" customFormat="1" x14ac:dyDescent="0.2"/>
    <row r="266" s="111" customFormat="1" x14ac:dyDescent="0.2"/>
    <row r="267" s="111" customFormat="1" x14ac:dyDescent="0.2"/>
    <row r="268" s="111" customFormat="1" x14ac:dyDescent="0.2"/>
    <row r="269" s="111" customFormat="1" x14ac:dyDescent="0.2"/>
    <row r="270" s="111" customFormat="1" x14ac:dyDescent="0.2"/>
    <row r="271" s="111" customFormat="1" x14ac:dyDescent="0.2"/>
    <row r="272" s="111" customFormat="1" x14ac:dyDescent="0.2"/>
    <row r="273" s="111" customFormat="1" x14ac:dyDescent="0.2"/>
    <row r="274" s="111" customFormat="1" x14ac:dyDescent="0.2"/>
    <row r="275" s="111" customFormat="1" x14ac:dyDescent="0.2"/>
    <row r="276" s="111" customFormat="1" x14ac:dyDescent="0.2"/>
    <row r="277" s="111" customFormat="1" x14ac:dyDescent="0.2"/>
    <row r="278" s="111" customFormat="1" x14ac:dyDescent="0.2"/>
    <row r="279" s="111" customFormat="1" x14ac:dyDescent="0.2"/>
    <row r="280" s="111" customFormat="1" x14ac:dyDescent="0.2"/>
    <row r="281" s="111" customFormat="1" x14ac:dyDescent="0.2"/>
    <row r="282" s="111" customFormat="1" x14ac:dyDescent="0.2"/>
    <row r="283" s="111" customFormat="1" x14ac:dyDescent="0.2"/>
    <row r="284" s="111" customFormat="1" x14ac:dyDescent="0.2"/>
    <row r="285" s="111" customFormat="1" x14ac:dyDescent="0.2"/>
    <row r="286" s="111" customFormat="1" x14ac:dyDescent="0.2"/>
    <row r="287" s="111" customFormat="1" x14ac:dyDescent="0.2"/>
    <row r="288" s="111" customFormat="1" x14ac:dyDescent="0.2"/>
    <row r="289" s="111" customFormat="1" x14ac:dyDescent="0.2"/>
    <row r="290" s="111" customFormat="1" x14ac:dyDescent="0.2"/>
    <row r="291" s="111" customFormat="1" x14ac:dyDescent="0.2"/>
    <row r="292" s="111" customFormat="1" x14ac:dyDescent="0.2"/>
    <row r="293" s="111" customFormat="1" x14ac:dyDescent="0.2"/>
    <row r="294" s="111" customFormat="1" x14ac:dyDescent="0.2"/>
    <row r="295" s="111" customFormat="1" x14ac:dyDescent="0.2"/>
    <row r="296" s="111" customFormat="1" x14ac:dyDescent="0.2"/>
    <row r="297" s="111" customFormat="1" x14ac:dyDescent="0.2"/>
    <row r="298" s="111" customFormat="1" x14ac:dyDescent="0.2"/>
    <row r="299" s="111" customFormat="1" x14ac:dyDescent="0.2"/>
    <row r="300" s="111" customFormat="1" x14ac:dyDescent="0.2"/>
    <row r="301" s="111" customFormat="1" x14ac:dyDescent="0.2"/>
    <row r="302" s="111" customFormat="1" x14ac:dyDescent="0.2"/>
    <row r="303" s="111" customFormat="1" x14ac:dyDescent="0.2"/>
    <row r="304" s="111" customFormat="1" x14ac:dyDescent="0.2"/>
    <row r="305" s="111" customFormat="1" x14ac:dyDescent="0.2"/>
    <row r="306" s="111" customFormat="1" x14ac:dyDescent="0.2"/>
    <row r="307" s="111" customFormat="1" x14ac:dyDescent="0.2"/>
    <row r="308" s="111" customFormat="1" x14ac:dyDescent="0.2"/>
    <row r="309" s="111" customFormat="1" x14ac:dyDescent="0.2"/>
    <row r="310" s="111" customFormat="1" x14ac:dyDescent="0.2"/>
    <row r="311" s="111" customFormat="1" x14ac:dyDescent="0.2"/>
    <row r="312" s="111" customFormat="1" x14ac:dyDescent="0.2"/>
    <row r="313" s="111" customFormat="1" x14ac:dyDescent="0.2"/>
    <row r="314" s="111" customFormat="1" x14ac:dyDescent="0.2"/>
    <row r="315" s="111" customFormat="1" x14ac:dyDescent="0.2"/>
    <row r="316" s="111" customFormat="1" x14ac:dyDescent="0.2"/>
    <row r="317" s="111" customFormat="1" x14ac:dyDescent="0.2"/>
    <row r="318" s="111" customFormat="1" x14ac:dyDescent="0.2"/>
    <row r="319" s="111" customFormat="1" x14ac:dyDescent="0.2"/>
    <row r="320" s="111" customFormat="1" x14ac:dyDescent="0.2"/>
    <row r="321" s="111" customFormat="1" x14ac:dyDescent="0.2"/>
    <row r="322" s="111" customFormat="1" x14ac:dyDescent="0.2"/>
    <row r="323" s="111" customFormat="1" x14ac:dyDescent="0.2"/>
    <row r="324" s="111" customFormat="1" x14ac:dyDescent="0.2"/>
    <row r="325" s="111" customFormat="1" x14ac:dyDescent="0.2"/>
    <row r="326" s="111" customFormat="1" x14ac:dyDescent="0.2"/>
    <row r="327" s="111" customFormat="1" x14ac:dyDescent="0.2"/>
    <row r="328" s="111" customFormat="1" x14ac:dyDescent="0.2"/>
    <row r="329" s="111" customFormat="1" x14ac:dyDescent="0.2"/>
    <row r="330" s="111" customFormat="1" x14ac:dyDescent="0.2"/>
    <row r="331" s="111" customFormat="1" x14ac:dyDescent="0.2"/>
    <row r="332" s="111" customFormat="1" x14ac:dyDescent="0.2"/>
    <row r="333" s="111" customFormat="1" x14ac:dyDescent="0.2"/>
    <row r="334" s="111" customFormat="1" x14ac:dyDescent="0.2"/>
    <row r="335" s="111" customFormat="1" x14ac:dyDescent="0.2"/>
    <row r="336" s="111" customFormat="1" x14ac:dyDescent="0.2"/>
    <row r="337" s="111" customFormat="1" x14ac:dyDescent="0.2"/>
    <row r="338" s="111" customFormat="1" x14ac:dyDescent="0.2"/>
    <row r="339" s="111" customFormat="1" x14ac:dyDescent="0.2"/>
    <row r="340" s="111" customFormat="1" x14ac:dyDescent="0.2"/>
    <row r="341" s="111" customFormat="1" x14ac:dyDescent="0.2"/>
    <row r="342" s="111" customFormat="1" x14ac:dyDescent="0.2"/>
    <row r="343" s="111" customFormat="1" x14ac:dyDescent="0.2"/>
    <row r="344" s="111" customFormat="1" x14ac:dyDescent="0.2"/>
    <row r="345" s="111" customFormat="1" x14ac:dyDescent="0.2"/>
    <row r="346" s="111" customFormat="1" x14ac:dyDescent="0.2"/>
    <row r="347" s="111" customFormat="1" x14ac:dyDescent="0.2"/>
    <row r="348" s="111" customFormat="1" x14ac:dyDescent="0.2"/>
    <row r="349" s="111" customFormat="1" x14ac:dyDescent="0.2"/>
    <row r="350" s="111" customFormat="1" x14ac:dyDescent="0.2"/>
    <row r="351" s="111" customFormat="1" x14ac:dyDescent="0.2"/>
    <row r="352" s="111" customFormat="1" x14ac:dyDescent="0.2"/>
    <row r="353" s="111" customFormat="1" x14ac:dyDescent="0.2"/>
    <row r="354" s="111" customFormat="1" x14ac:dyDescent="0.2"/>
    <row r="355" s="111" customFormat="1" x14ac:dyDescent="0.2"/>
    <row r="356" s="111" customFormat="1" x14ac:dyDescent="0.2"/>
    <row r="357" s="111" customFormat="1" x14ac:dyDescent="0.2"/>
    <row r="358" s="111" customFormat="1" x14ac:dyDescent="0.2"/>
    <row r="359" s="111" customFormat="1" x14ac:dyDescent="0.2"/>
    <row r="360" s="111" customFormat="1" x14ac:dyDescent="0.2"/>
    <row r="361" s="111" customFormat="1" x14ac:dyDescent="0.2"/>
    <row r="362" s="111" customFormat="1" x14ac:dyDescent="0.2"/>
    <row r="363" s="111" customFormat="1" x14ac:dyDescent="0.2"/>
    <row r="364" s="111" customFormat="1" x14ac:dyDescent="0.2"/>
    <row r="365" s="111" customFormat="1" x14ac:dyDescent="0.2"/>
    <row r="366" s="111" customFormat="1" x14ac:dyDescent="0.2"/>
    <row r="367" s="111" customFormat="1" x14ac:dyDescent="0.2"/>
    <row r="368" s="111" customFormat="1" x14ac:dyDescent="0.2"/>
    <row r="369" s="111" customFormat="1" x14ac:dyDescent="0.2"/>
    <row r="370" s="111" customFormat="1" x14ac:dyDescent="0.2"/>
    <row r="371" s="111" customFormat="1" x14ac:dyDescent="0.2"/>
    <row r="372" s="111" customFormat="1" x14ac:dyDescent="0.2"/>
    <row r="373" s="111" customFormat="1" x14ac:dyDescent="0.2"/>
    <row r="374" s="111" customFormat="1" x14ac:dyDescent="0.2"/>
    <row r="375" s="111" customFormat="1" x14ac:dyDescent="0.2"/>
    <row r="376" s="111" customFormat="1" x14ac:dyDescent="0.2"/>
    <row r="377" s="111" customFormat="1" x14ac:dyDescent="0.2"/>
    <row r="378" s="111" customFormat="1" x14ac:dyDescent="0.2"/>
    <row r="379" s="111" customFormat="1" x14ac:dyDescent="0.2"/>
    <row r="380" s="111" customFormat="1" x14ac:dyDescent="0.2"/>
    <row r="381" s="111" customFormat="1" x14ac:dyDescent="0.2"/>
    <row r="382" s="111" customFormat="1" x14ac:dyDescent="0.2"/>
    <row r="383" s="111" customFormat="1" x14ac:dyDescent="0.2"/>
    <row r="384" s="111" customFormat="1" x14ac:dyDescent="0.2"/>
    <row r="385" s="111" customFormat="1" x14ac:dyDescent="0.2"/>
    <row r="386" s="111" customFormat="1" x14ac:dyDescent="0.2"/>
    <row r="387" s="111" customFormat="1" x14ac:dyDescent="0.2"/>
    <row r="388" s="111" customFormat="1" x14ac:dyDescent="0.2"/>
    <row r="389" s="111" customFormat="1" x14ac:dyDescent="0.2"/>
    <row r="390" s="111" customFormat="1" x14ac:dyDescent="0.2"/>
    <row r="391" s="111" customFormat="1" x14ac:dyDescent="0.2"/>
    <row r="392" s="111" customFormat="1" x14ac:dyDescent="0.2"/>
    <row r="393" s="111" customFormat="1" x14ac:dyDescent="0.2"/>
    <row r="394" s="111" customFormat="1" x14ac:dyDescent="0.2"/>
    <row r="395" s="111" customFormat="1" x14ac:dyDescent="0.2"/>
    <row r="396" s="111" customFormat="1" x14ac:dyDescent="0.2"/>
    <row r="397" s="111" customFormat="1" x14ac:dyDescent="0.2"/>
    <row r="398" s="111" customFormat="1" x14ac:dyDescent="0.2"/>
    <row r="399" s="111" customFormat="1" x14ac:dyDescent="0.2"/>
    <row r="400" s="111" customFormat="1" x14ac:dyDescent="0.2"/>
    <row r="401" s="111" customFormat="1" x14ac:dyDescent="0.2"/>
    <row r="402" s="111" customFormat="1" x14ac:dyDescent="0.2"/>
    <row r="403" s="111" customFormat="1" x14ac:dyDescent="0.2"/>
    <row r="404" s="111" customFormat="1" x14ac:dyDescent="0.2"/>
    <row r="405" s="111" customFormat="1" x14ac:dyDescent="0.2"/>
    <row r="406" s="111" customFormat="1" x14ac:dyDescent="0.2"/>
    <row r="407" s="111" customFormat="1" x14ac:dyDescent="0.2"/>
    <row r="408" s="111" customFormat="1" x14ac:dyDescent="0.2"/>
    <row r="409" s="111" customFormat="1" x14ac:dyDescent="0.2"/>
    <row r="410" s="111" customFormat="1" x14ac:dyDescent="0.2"/>
    <row r="411" s="111" customFormat="1" x14ac:dyDescent="0.2"/>
    <row r="412" s="111" customFormat="1" x14ac:dyDescent="0.2"/>
    <row r="413" s="111" customFormat="1" x14ac:dyDescent="0.2"/>
    <row r="414" s="111" customFormat="1" x14ac:dyDescent="0.2"/>
    <row r="415" s="111" customFormat="1" x14ac:dyDescent="0.2"/>
    <row r="416" s="111" customFormat="1" x14ac:dyDescent="0.2"/>
    <row r="417" s="111" customFormat="1" x14ac:dyDescent="0.2"/>
    <row r="418" s="111" customFormat="1" x14ac:dyDescent="0.2"/>
    <row r="419" s="111" customFormat="1" x14ac:dyDescent="0.2"/>
    <row r="420" s="111" customFormat="1" x14ac:dyDescent="0.2"/>
    <row r="421" s="111" customFormat="1" x14ac:dyDescent="0.2"/>
    <row r="422" s="111" customFormat="1" x14ac:dyDescent="0.2"/>
    <row r="423" s="111" customFormat="1" x14ac:dyDescent="0.2"/>
    <row r="424" s="111" customFormat="1" x14ac:dyDescent="0.2"/>
    <row r="425" s="111" customFormat="1" x14ac:dyDescent="0.2"/>
    <row r="426" s="111" customFormat="1" x14ac:dyDescent="0.2"/>
    <row r="427" s="111" customFormat="1" x14ac:dyDescent="0.2"/>
    <row r="428" s="111" customFormat="1" x14ac:dyDescent="0.2"/>
    <row r="429" s="111" customFormat="1" x14ac:dyDescent="0.2"/>
    <row r="430" s="111" customFormat="1" x14ac:dyDescent="0.2"/>
    <row r="431" s="111" customFormat="1" x14ac:dyDescent="0.2"/>
    <row r="432" s="111" customFormat="1" x14ac:dyDescent="0.2"/>
    <row r="433" s="111" customFormat="1" x14ac:dyDescent="0.2"/>
    <row r="434" s="111" customFormat="1" x14ac:dyDescent="0.2"/>
    <row r="435" s="111" customFormat="1" x14ac:dyDescent="0.2"/>
    <row r="436" s="111" customFormat="1" x14ac:dyDescent="0.2"/>
    <row r="437" s="111" customFormat="1" x14ac:dyDescent="0.2"/>
    <row r="438" s="111" customFormat="1" x14ac:dyDescent="0.2"/>
    <row r="439" s="111" customFormat="1" x14ac:dyDescent="0.2"/>
    <row r="440" s="111" customFormat="1" x14ac:dyDescent="0.2"/>
    <row r="441" s="111" customFormat="1" x14ac:dyDescent="0.2"/>
    <row r="442" s="111" customFormat="1" x14ac:dyDescent="0.2"/>
    <row r="443" s="111" customFormat="1" x14ac:dyDescent="0.2"/>
    <row r="444" s="111" customFormat="1" x14ac:dyDescent="0.2"/>
    <row r="445" s="111" customFormat="1" x14ac:dyDescent="0.2"/>
    <row r="446" s="111" customFormat="1" x14ac:dyDescent="0.2"/>
    <row r="447" s="111" customFormat="1" x14ac:dyDescent="0.2"/>
    <row r="448" s="111" customFormat="1" x14ac:dyDescent="0.2"/>
    <row r="449" s="111" customFormat="1" x14ac:dyDescent="0.2"/>
    <row r="450" s="111" customFormat="1" x14ac:dyDescent="0.2"/>
    <row r="451" s="111" customFormat="1" x14ac:dyDescent="0.2"/>
    <row r="452" s="111" customFormat="1" x14ac:dyDescent="0.2"/>
    <row r="453" s="111" customFormat="1" x14ac:dyDescent="0.2"/>
    <row r="454" s="111" customFormat="1" x14ac:dyDescent="0.2"/>
    <row r="455" s="111" customFormat="1" x14ac:dyDescent="0.2"/>
    <row r="456" s="111" customFormat="1" x14ac:dyDescent="0.2"/>
    <row r="457" s="111" customFormat="1" x14ac:dyDescent="0.2"/>
    <row r="458" s="111" customFormat="1" x14ac:dyDescent="0.2"/>
    <row r="459" s="111" customFormat="1" x14ac:dyDescent="0.2"/>
    <row r="460" s="111" customFormat="1" x14ac:dyDescent="0.2"/>
    <row r="461" s="111" customFormat="1" x14ac:dyDescent="0.2"/>
    <row r="462" s="111" customFormat="1" x14ac:dyDescent="0.2"/>
    <row r="463" s="111" customFormat="1" x14ac:dyDescent="0.2"/>
    <row r="464" s="111" customFormat="1" x14ac:dyDescent="0.2"/>
    <row r="465" s="111" customFormat="1" x14ac:dyDescent="0.2"/>
    <row r="466" s="111" customFormat="1" x14ac:dyDescent="0.2"/>
    <row r="467" s="111" customFormat="1" x14ac:dyDescent="0.2"/>
    <row r="468" s="111" customFormat="1" x14ac:dyDescent="0.2"/>
    <row r="469" s="111" customFormat="1" x14ac:dyDescent="0.2"/>
    <row r="470" s="111" customFormat="1" x14ac:dyDescent="0.2"/>
    <row r="471" s="111" customFormat="1" x14ac:dyDescent="0.2"/>
    <row r="472" s="111" customFormat="1" x14ac:dyDescent="0.2"/>
    <row r="473" s="111" customFormat="1" x14ac:dyDescent="0.2"/>
    <row r="474" s="111" customFormat="1" x14ac:dyDescent="0.2"/>
    <row r="475" s="111" customFormat="1" x14ac:dyDescent="0.2"/>
    <row r="476" s="111" customFormat="1" x14ac:dyDescent="0.2"/>
    <row r="477" s="111" customFormat="1" x14ac:dyDescent="0.2"/>
    <row r="478" s="111" customFormat="1" x14ac:dyDescent="0.2"/>
    <row r="479" s="111" customFormat="1" x14ac:dyDescent="0.2"/>
    <row r="480" s="111" customFormat="1" x14ac:dyDescent="0.2"/>
    <row r="481" s="111" customFormat="1" x14ac:dyDescent="0.2"/>
    <row r="482" s="111" customFormat="1" x14ac:dyDescent="0.2"/>
    <row r="483" s="111" customFormat="1" x14ac:dyDescent="0.2"/>
    <row r="484" s="111" customFormat="1" x14ac:dyDescent="0.2"/>
    <row r="485" s="111" customFormat="1" x14ac:dyDescent="0.2"/>
    <row r="486" s="111" customFormat="1" x14ac:dyDescent="0.2"/>
    <row r="487" s="111" customFormat="1" x14ac:dyDescent="0.2"/>
    <row r="488" s="111" customFormat="1" x14ac:dyDescent="0.2"/>
    <row r="489" s="111" customFormat="1" x14ac:dyDescent="0.2"/>
    <row r="490" s="111" customFormat="1" x14ac:dyDescent="0.2"/>
    <row r="491" s="111" customFormat="1" x14ac:dyDescent="0.2"/>
    <row r="492" s="111" customFormat="1" x14ac:dyDescent="0.2"/>
    <row r="493" s="111" customFormat="1" x14ac:dyDescent="0.2"/>
    <row r="494" s="111" customFormat="1" x14ac:dyDescent="0.2"/>
    <row r="495" s="111" customFormat="1" x14ac:dyDescent="0.2"/>
    <row r="496" s="111" customFormat="1" x14ac:dyDescent="0.2"/>
    <row r="497" s="111" customFormat="1" x14ac:dyDescent="0.2"/>
    <row r="498" s="111" customFormat="1" x14ac:dyDescent="0.2"/>
    <row r="499" s="111" customFormat="1" x14ac:dyDescent="0.2"/>
    <row r="500" s="111" customFormat="1" x14ac:dyDescent="0.2"/>
    <row r="501" s="111" customFormat="1" x14ac:dyDescent="0.2"/>
    <row r="502" s="111" customFormat="1" x14ac:dyDescent="0.2"/>
    <row r="503" s="111" customFormat="1" x14ac:dyDescent="0.2"/>
    <row r="504" s="111" customFormat="1" x14ac:dyDescent="0.2"/>
    <row r="505" s="111" customFormat="1" x14ac:dyDescent="0.2"/>
    <row r="506" s="111" customFormat="1" x14ac:dyDescent="0.2"/>
    <row r="507" s="111" customFormat="1" x14ac:dyDescent="0.2"/>
    <row r="508" s="111" customFormat="1" x14ac:dyDescent="0.2"/>
    <row r="509" s="111" customFormat="1" x14ac:dyDescent="0.2"/>
    <row r="510" s="111" customFormat="1" x14ac:dyDescent="0.2"/>
    <row r="511" s="111" customFormat="1" x14ac:dyDescent="0.2"/>
    <row r="512" s="111" customFormat="1" x14ac:dyDescent="0.2"/>
    <row r="513" s="111" customFormat="1" x14ac:dyDescent="0.2"/>
    <row r="514" s="111" customFormat="1" x14ac:dyDescent="0.2"/>
    <row r="515" s="111" customFormat="1" x14ac:dyDescent="0.2"/>
    <row r="516" s="111" customFormat="1" x14ac:dyDescent="0.2"/>
    <row r="517" s="111" customFormat="1" x14ac:dyDescent="0.2"/>
    <row r="518" s="111" customFormat="1" x14ac:dyDescent="0.2"/>
    <row r="519" s="111" customFormat="1" x14ac:dyDescent="0.2"/>
    <row r="520" s="111" customFormat="1" x14ac:dyDescent="0.2"/>
    <row r="521" s="111" customFormat="1" x14ac:dyDescent="0.2"/>
    <row r="522" s="111" customFormat="1" x14ac:dyDescent="0.2"/>
    <row r="523" s="111" customFormat="1" x14ac:dyDescent="0.2"/>
    <row r="524" s="111" customFormat="1" x14ac:dyDescent="0.2"/>
    <row r="525" s="111" customFormat="1" x14ac:dyDescent="0.2"/>
    <row r="526" s="111" customFormat="1" x14ac:dyDescent="0.2"/>
    <row r="527" s="111" customFormat="1" x14ac:dyDescent="0.2"/>
    <row r="528" s="111" customFormat="1" x14ac:dyDescent="0.2"/>
    <row r="529" s="111" customFormat="1" x14ac:dyDescent="0.2"/>
    <row r="530" s="111" customFormat="1" x14ac:dyDescent="0.2"/>
    <row r="531" s="111" customFormat="1" x14ac:dyDescent="0.2"/>
    <row r="532" s="111" customFormat="1" x14ac:dyDescent="0.2"/>
    <row r="533" s="111" customFormat="1" x14ac:dyDescent="0.2"/>
    <row r="534" s="111" customFormat="1" x14ac:dyDescent="0.2"/>
    <row r="535" s="111" customFormat="1" x14ac:dyDescent="0.2"/>
    <row r="536" s="111" customFormat="1" x14ac:dyDescent="0.2"/>
    <row r="537" s="111" customFormat="1" x14ac:dyDescent="0.2"/>
    <row r="538" s="111" customFormat="1" x14ac:dyDescent="0.2"/>
    <row r="539" s="111" customFormat="1" x14ac:dyDescent="0.2"/>
    <row r="540" s="111" customFormat="1" x14ac:dyDescent="0.2"/>
    <row r="541" s="111" customFormat="1" x14ac:dyDescent="0.2"/>
    <row r="542" s="111" customFormat="1" x14ac:dyDescent="0.2"/>
    <row r="543" s="111" customFormat="1" x14ac:dyDescent="0.2"/>
    <row r="544" s="111" customFormat="1" x14ac:dyDescent="0.2"/>
    <row r="545" s="111" customFormat="1" x14ac:dyDescent="0.2"/>
    <row r="546" s="111" customFormat="1" x14ac:dyDescent="0.2"/>
    <row r="547" s="111" customFormat="1" x14ac:dyDescent="0.2"/>
    <row r="548" s="111" customFormat="1" x14ac:dyDescent="0.2"/>
    <row r="549" s="111" customFormat="1" x14ac:dyDescent="0.2"/>
    <row r="550" s="111" customFormat="1" x14ac:dyDescent="0.2"/>
    <row r="551" s="111" customFormat="1" x14ac:dyDescent="0.2"/>
    <row r="552" s="111" customFormat="1" x14ac:dyDescent="0.2"/>
    <row r="553" s="111" customFormat="1" x14ac:dyDescent="0.2"/>
    <row r="554" s="111" customFormat="1" x14ac:dyDescent="0.2"/>
    <row r="555" s="111" customFormat="1" x14ac:dyDescent="0.2"/>
    <row r="556" s="111" customFormat="1" x14ac:dyDescent="0.2"/>
    <row r="557" s="111" customFormat="1" x14ac:dyDescent="0.2"/>
    <row r="558" s="111" customFormat="1" x14ac:dyDescent="0.2"/>
    <row r="559" s="111" customFormat="1" x14ac:dyDescent="0.2"/>
    <row r="560" s="111" customFormat="1" x14ac:dyDescent="0.2"/>
    <row r="561" s="111" customFormat="1" x14ac:dyDescent="0.2"/>
    <row r="562" s="111" customFormat="1" x14ac:dyDescent="0.2"/>
    <row r="563" s="111" customFormat="1" x14ac:dyDescent="0.2"/>
    <row r="564" s="111" customFormat="1" x14ac:dyDescent="0.2"/>
    <row r="565" s="111" customFormat="1" x14ac:dyDescent="0.2"/>
    <row r="566" s="111" customFormat="1" x14ac:dyDescent="0.2"/>
    <row r="567" s="111" customFormat="1" x14ac:dyDescent="0.2"/>
    <row r="568" s="111" customFormat="1" x14ac:dyDescent="0.2"/>
    <row r="569" s="111" customFormat="1" x14ac:dyDescent="0.2"/>
    <row r="570" s="111" customFormat="1" x14ac:dyDescent="0.2"/>
    <row r="571" s="111" customFormat="1" x14ac:dyDescent="0.2"/>
    <row r="572" s="111" customFormat="1" x14ac:dyDescent="0.2"/>
    <row r="573" s="111" customFormat="1" x14ac:dyDescent="0.2"/>
    <row r="574" s="111" customFormat="1" x14ac:dyDescent="0.2"/>
    <row r="575" s="111" customFormat="1" x14ac:dyDescent="0.2"/>
    <row r="576" s="111" customFormat="1" x14ac:dyDescent="0.2"/>
    <row r="577" s="111" customFormat="1" x14ac:dyDescent="0.2"/>
    <row r="578" s="111" customFormat="1" x14ac:dyDescent="0.2"/>
    <row r="579" s="111" customFormat="1" x14ac:dyDescent="0.2"/>
    <row r="580" s="111" customFormat="1" x14ac:dyDescent="0.2"/>
    <row r="581" s="111" customFormat="1" x14ac:dyDescent="0.2"/>
    <row r="582" s="111" customFormat="1" x14ac:dyDescent="0.2"/>
    <row r="583" s="111" customFormat="1" x14ac:dyDescent="0.2"/>
    <row r="584" s="111" customFormat="1" x14ac:dyDescent="0.2"/>
    <row r="585" s="111" customFormat="1" x14ac:dyDescent="0.2"/>
    <row r="586" s="111" customFormat="1" x14ac:dyDescent="0.2"/>
    <row r="587" s="111" customFormat="1" x14ac:dyDescent="0.2"/>
    <row r="588" s="111" customFormat="1" x14ac:dyDescent="0.2"/>
    <row r="589" s="111" customFormat="1" x14ac:dyDescent="0.2"/>
    <row r="590" s="111" customFormat="1" x14ac:dyDescent="0.2"/>
    <row r="591" s="111" customFormat="1" x14ac:dyDescent="0.2"/>
    <row r="592" s="111" customFormat="1" x14ac:dyDescent="0.2"/>
    <row r="593" s="111" customFormat="1" x14ac:dyDescent="0.2"/>
    <row r="594" s="111" customFormat="1" x14ac:dyDescent="0.2"/>
    <row r="595" s="111" customFormat="1" x14ac:dyDescent="0.2"/>
    <row r="596" s="111" customFormat="1" x14ac:dyDescent="0.2"/>
    <row r="597" s="111" customFormat="1" x14ac:dyDescent="0.2"/>
    <row r="598" s="111" customFormat="1" x14ac:dyDescent="0.2"/>
    <row r="599" s="111" customFormat="1" x14ac:dyDescent="0.2"/>
    <row r="600" s="111" customFormat="1" x14ac:dyDescent="0.2"/>
    <row r="601" s="111" customFormat="1" x14ac:dyDescent="0.2"/>
    <row r="602" s="111" customFormat="1" x14ac:dyDescent="0.2"/>
    <row r="603" s="111" customFormat="1" x14ac:dyDescent="0.2"/>
    <row r="604" s="111" customFormat="1" x14ac:dyDescent="0.2"/>
    <row r="605" s="111" customFormat="1" x14ac:dyDescent="0.2"/>
    <row r="606" s="111" customFormat="1" x14ac:dyDescent="0.2"/>
    <row r="607" s="111" customFormat="1" x14ac:dyDescent="0.2"/>
    <row r="608" s="111" customFormat="1" x14ac:dyDescent="0.2"/>
    <row r="609" s="111" customFormat="1" x14ac:dyDescent="0.2"/>
    <row r="610" s="111" customFormat="1" x14ac:dyDescent="0.2"/>
    <row r="611" s="111" customFormat="1" x14ac:dyDescent="0.2"/>
    <row r="612" s="111" customFormat="1" x14ac:dyDescent="0.2"/>
    <row r="613" s="111" customFormat="1" x14ac:dyDescent="0.2"/>
    <row r="614" s="111" customFormat="1" x14ac:dyDescent="0.2"/>
    <row r="615" s="111" customFormat="1" x14ac:dyDescent="0.2"/>
    <row r="616" s="111" customFormat="1" x14ac:dyDescent="0.2"/>
    <row r="617" s="111" customFormat="1" x14ac:dyDescent="0.2"/>
    <row r="618" s="111" customFormat="1" x14ac:dyDescent="0.2"/>
    <row r="619" s="111" customFormat="1" x14ac:dyDescent="0.2"/>
    <row r="620" s="111" customFormat="1" x14ac:dyDescent="0.2"/>
    <row r="621" s="111" customFormat="1" x14ac:dyDescent="0.2"/>
    <row r="622" s="111" customFormat="1" x14ac:dyDescent="0.2"/>
    <row r="623" s="111" customFormat="1" x14ac:dyDescent="0.2"/>
    <row r="624" s="111" customFormat="1" x14ac:dyDescent="0.2"/>
    <row r="625" s="111" customFormat="1" x14ac:dyDescent="0.2"/>
    <row r="626" s="111" customFormat="1" x14ac:dyDescent="0.2"/>
    <row r="627" s="111" customFormat="1" x14ac:dyDescent="0.2"/>
    <row r="628" s="111" customFormat="1" x14ac:dyDescent="0.2"/>
    <row r="629" s="111" customFormat="1" x14ac:dyDescent="0.2"/>
    <row r="630" s="111" customFormat="1" x14ac:dyDescent="0.2"/>
    <row r="631" s="111" customFormat="1" x14ac:dyDescent="0.2"/>
    <row r="632" s="111" customFormat="1" x14ac:dyDescent="0.2"/>
    <row r="633" s="111" customFormat="1" x14ac:dyDescent="0.2"/>
    <row r="634" s="111" customFormat="1" x14ac:dyDescent="0.2"/>
    <row r="635" s="111" customFormat="1" x14ac:dyDescent="0.2"/>
    <row r="636" s="111" customFormat="1" x14ac:dyDescent="0.2"/>
    <row r="637" s="111" customFormat="1" x14ac:dyDescent="0.2"/>
    <row r="638" s="111" customFormat="1" x14ac:dyDescent="0.2"/>
    <row r="639" s="111" customFormat="1" x14ac:dyDescent="0.2"/>
    <row r="640" s="111" customFormat="1" x14ac:dyDescent="0.2"/>
    <row r="641" s="111" customFormat="1" x14ac:dyDescent="0.2"/>
    <row r="642" s="111" customFormat="1" x14ac:dyDescent="0.2"/>
    <row r="643" s="111" customFormat="1" x14ac:dyDescent="0.2"/>
    <row r="644" s="111" customFormat="1" x14ac:dyDescent="0.2"/>
    <row r="645" s="111" customFormat="1" x14ac:dyDescent="0.2"/>
    <row r="646" s="111" customFormat="1" x14ac:dyDescent="0.2"/>
    <row r="647" s="111" customFormat="1" x14ac:dyDescent="0.2"/>
    <row r="648" s="111" customFormat="1" x14ac:dyDescent="0.2"/>
    <row r="649" s="111" customFormat="1" x14ac:dyDescent="0.2"/>
    <row r="650" s="111" customFormat="1" x14ac:dyDescent="0.2"/>
    <row r="651" s="111" customFormat="1" x14ac:dyDescent="0.2"/>
    <row r="652" s="111" customFormat="1" x14ac:dyDescent="0.2"/>
    <row r="653" s="111" customFormat="1" x14ac:dyDescent="0.2"/>
    <row r="654" s="111" customFormat="1" x14ac:dyDescent="0.2"/>
    <row r="655" s="111" customFormat="1" x14ac:dyDescent="0.2"/>
    <row r="656" s="111" customFormat="1" x14ac:dyDescent="0.2"/>
    <row r="657" s="111" customFormat="1" x14ac:dyDescent="0.2"/>
    <row r="658" s="111" customFormat="1" x14ac:dyDescent="0.2"/>
    <row r="659" s="111" customFormat="1" x14ac:dyDescent="0.2"/>
    <row r="660" s="111" customFormat="1" x14ac:dyDescent="0.2"/>
    <row r="661" s="111" customFormat="1" x14ac:dyDescent="0.2"/>
    <row r="662" s="111" customFormat="1" x14ac:dyDescent="0.2"/>
    <row r="663" s="111" customFormat="1" x14ac:dyDescent="0.2"/>
    <row r="664" s="111" customFormat="1" x14ac:dyDescent="0.2"/>
    <row r="665" s="111" customFormat="1" x14ac:dyDescent="0.2"/>
    <row r="666" s="111" customFormat="1" x14ac:dyDescent="0.2"/>
    <row r="667" s="111" customFormat="1" x14ac:dyDescent="0.2"/>
    <row r="668" s="111" customFormat="1" x14ac:dyDescent="0.2"/>
    <row r="669" s="111" customFormat="1" x14ac:dyDescent="0.2"/>
    <row r="670" s="111" customFormat="1" x14ac:dyDescent="0.2"/>
    <row r="671" s="111" customFormat="1" x14ac:dyDescent="0.2"/>
    <row r="672" s="111" customFormat="1" x14ac:dyDescent="0.2"/>
    <row r="673" s="111" customFormat="1" x14ac:dyDescent="0.2"/>
    <row r="674" s="111" customFormat="1" x14ac:dyDescent="0.2"/>
    <row r="675" s="111" customFormat="1" x14ac:dyDescent="0.2"/>
    <row r="676" s="111" customFormat="1" x14ac:dyDescent="0.2"/>
    <row r="677" s="111" customFormat="1" x14ac:dyDescent="0.2"/>
    <row r="678" s="111" customFormat="1" x14ac:dyDescent="0.2"/>
    <row r="679" s="111" customFormat="1" x14ac:dyDescent="0.2"/>
    <row r="680" s="111" customFormat="1" x14ac:dyDescent="0.2"/>
    <row r="681" s="111" customFormat="1" x14ac:dyDescent="0.2"/>
    <row r="682" s="111" customFormat="1" x14ac:dyDescent="0.2"/>
    <row r="683" s="111" customFormat="1" x14ac:dyDescent="0.2"/>
    <row r="684" s="111" customFormat="1" x14ac:dyDescent="0.2"/>
    <row r="685" s="111" customFormat="1" x14ac:dyDescent="0.2"/>
    <row r="686" s="111" customFormat="1" x14ac:dyDescent="0.2"/>
    <row r="687" s="111" customFormat="1" x14ac:dyDescent="0.2"/>
    <row r="688" s="111" customFormat="1" x14ac:dyDescent="0.2"/>
    <row r="689" s="111" customFormat="1" x14ac:dyDescent="0.2"/>
    <row r="690" s="111" customFormat="1" x14ac:dyDescent="0.2"/>
    <row r="691" s="111" customFormat="1" x14ac:dyDescent="0.2"/>
    <row r="692" s="111" customFormat="1" x14ac:dyDescent="0.2"/>
    <row r="693" s="111" customFormat="1" x14ac:dyDescent="0.2"/>
    <row r="694" s="111" customFormat="1" x14ac:dyDescent="0.2"/>
    <row r="695" s="111" customFormat="1" x14ac:dyDescent="0.2"/>
    <row r="696" s="111" customFormat="1" x14ac:dyDescent="0.2"/>
    <row r="697" s="111" customFormat="1" x14ac:dyDescent="0.2"/>
    <row r="698" s="111" customFormat="1" x14ac:dyDescent="0.2"/>
    <row r="699" s="111" customFormat="1" x14ac:dyDescent="0.2"/>
    <row r="700" s="111" customFormat="1" x14ac:dyDescent="0.2"/>
    <row r="701" s="111" customFormat="1" x14ac:dyDescent="0.2"/>
    <row r="702" s="111" customFormat="1" x14ac:dyDescent="0.2"/>
    <row r="703" s="111" customFormat="1" x14ac:dyDescent="0.2"/>
    <row r="704" s="111" customFormat="1" x14ac:dyDescent="0.2"/>
    <row r="705" s="111" customFormat="1" x14ac:dyDescent="0.2"/>
    <row r="706" s="111" customFormat="1" x14ac:dyDescent="0.2"/>
    <row r="707" s="111" customFormat="1" x14ac:dyDescent="0.2"/>
    <row r="708" s="111" customFormat="1" x14ac:dyDescent="0.2"/>
    <row r="709" s="111" customFormat="1" x14ac:dyDescent="0.2"/>
    <row r="710" s="111" customFormat="1" x14ac:dyDescent="0.2"/>
    <row r="711" s="111" customFormat="1" x14ac:dyDescent="0.2"/>
    <row r="712" s="111" customFormat="1" x14ac:dyDescent="0.2"/>
    <row r="713" s="111" customFormat="1" x14ac:dyDescent="0.2"/>
    <row r="714" s="111" customFormat="1" x14ac:dyDescent="0.2"/>
    <row r="715" s="111" customFormat="1" x14ac:dyDescent="0.2"/>
    <row r="716" s="111" customFormat="1" x14ac:dyDescent="0.2"/>
    <row r="717" s="111" customFormat="1" x14ac:dyDescent="0.2"/>
    <row r="718" s="111" customFormat="1" x14ac:dyDescent="0.2"/>
    <row r="719" s="111" customFormat="1" x14ac:dyDescent="0.2"/>
    <row r="720" s="111" customFormat="1" x14ac:dyDescent="0.2"/>
    <row r="721" s="111" customFormat="1" x14ac:dyDescent="0.2"/>
    <row r="722" s="111" customFormat="1" x14ac:dyDescent="0.2"/>
    <row r="723" s="111" customFormat="1" x14ac:dyDescent="0.2"/>
    <row r="724" s="111" customFormat="1" x14ac:dyDescent="0.2"/>
    <row r="725" s="111" customFormat="1" x14ac:dyDescent="0.2"/>
    <row r="726" s="111" customFormat="1" x14ac:dyDescent="0.2"/>
    <row r="727" s="111" customFormat="1" x14ac:dyDescent="0.2"/>
    <row r="728" s="111" customFormat="1" x14ac:dyDescent="0.2"/>
    <row r="729" s="111" customFormat="1" x14ac:dyDescent="0.2"/>
    <row r="730" s="111" customFormat="1" x14ac:dyDescent="0.2"/>
    <row r="731" s="111" customFormat="1" x14ac:dyDescent="0.2"/>
    <row r="732" s="111" customFormat="1" x14ac:dyDescent="0.2"/>
    <row r="733" s="111" customFormat="1" x14ac:dyDescent="0.2"/>
    <row r="734" s="111" customFormat="1" x14ac:dyDescent="0.2"/>
    <row r="735" s="111" customFormat="1" x14ac:dyDescent="0.2"/>
    <row r="736" s="111" customFormat="1" x14ac:dyDescent="0.2"/>
    <row r="737" s="111" customFormat="1" x14ac:dyDescent="0.2"/>
    <row r="738" s="111" customFormat="1" x14ac:dyDescent="0.2"/>
    <row r="739" s="111" customFormat="1" x14ac:dyDescent="0.2"/>
    <row r="740" s="111" customFormat="1" x14ac:dyDescent="0.2"/>
    <row r="741" s="111" customFormat="1" x14ac:dyDescent="0.2"/>
    <row r="742" s="111" customFormat="1" x14ac:dyDescent="0.2"/>
    <row r="743" s="111" customFormat="1" x14ac:dyDescent="0.2"/>
    <row r="744" s="111" customFormat="1" x14ac:dyDescent="0.2"/>
    <row r="745" s="111" customFormat="1" x14ac:dyDescent="0.2"/>
    <row r="746" s="111" customFormat="1" x14ac:dyDescent="0.2"/>
    <row r="747" s="111" customFormat="1" x14ac:dyDescent="0.2"/>
    <row r="748" s="111" customFormat="1" x14ac:dyDescent="0.2"/>
    <row r="749" s="111" customFormat="1" x14ac:dyDescent="0.2"/>
  </sheetData>
  <mergeCells count="11">
    <mergeCell ref="E1:G1"/>
    <mergeCell ref="E2:G2"/>
    <mergeCell ref="E3:G3"/>
    <mergeCell ref="E4:G4"/>
    <mergeCell ref="M7:Q7"/>
    <mergeCell ref="E12:H12"/>
    <mergeCell ref="E13:H13"/>
    <mergeCell ref="M8:Q8"/>
    <mergeCell ref="M9:Q9"/>
    <mergeCell ref="L6:Q6"/>
    <mergeCell ref="E8:H8"/>
  </mergeCells>
  <phoneticPr fontId="0" type="noConversion"/>
  <conditionalFormatting sqref="C8">
    <cfRule type="containsBlanks" dxfId="8" priority="2">
      <formula>LEN(TRIM(C8))=0</formula>
    </cfRule>
  </conditionalFormatting>
  <conditionalFormatting sqref="C12:C13">
    <cfRule type="containsBlanks" dxfId="7" priority="1">
      <formula>LEN(TRIM(C12))=0</formula>
    </cfRule>
  </conditionalFormatting>
  <pageMargins left="0.7" right="0.7" top="0.75" bottom="0.75" header="0.3" footer="0.3"/>
  <pageSetup scale="79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Z613"/>
  <sheetViews>
    <sheetView topLeftCell="A8" zoomScaleNormal="100" workbookViewId="0">
      <selection activeCell="C39" sqref="C39:C40"/>
    </sheetView>
  </sheetViews>
  <sheetFormatPr defaultColWidth="9.140625" defaultRowHeight="12.75" x14ac:dyDescent="0.2"/>
  <cols>
    <col min="1" max="10" width="11.42578125" style="13" customWidth="1"/>
    <col min="11" max="11" width="8.5703125" style="13" customWidth="1"/>
    <col min="12" max="21" width="8.5703125" style="14" customWidth="1"/>
    <col min="22" max="22" width="8.5703125" style="13" customWidth="1"/>
    <col min="23" max="23" width="15.5703125" style="13" bestFit="1" customWidth="1"/>
    <col min="24" max="24" width="11.42578125" style="13" customWidth="1"/>
    <col min="25" max="78" width="9.140625" style="134"/>
    <col min="79" max="16384" width="9.140625" style="13"/>
  </cols>
  <sheetData>
    <row r="1" spans="1:24" ht="15" customHeight="1" x14ac:dyDescent="0.25">
      <c r="A1" s="22"/>
      <c r="B1" s="23"/>
      <c r="C1" s="23"/>
      <c r="D1" s="207" t="s">
        <v>131</v>
      </c>
      <c r="E1" s="346" t="str">
        <f>+IF('Site Ground Motions'!E1="","",'Site Ground Motions'!E1)</f>
        <v/>
      </c>
      <c r="F1" s="346"/>
      <c r="G1" s="346"/>
      <c r="H1" s="216" t="s">
        <v>132</v>
      </c>
      <c r="I1" s="210" t="str">
        <f>+IF('Site Ground Motions'!I1="","",'Site Ground Motions'!I1)</f>
        <v/>
      </c>
      <c r="J1" s="209" t="s">
        <v>133</v>
      </c>
      <c r="K1" s="24"/>
      <c r="L1" s="25" t="s">
        <v>134</v>
      </c>
      <c r="M1" s="26"/>
      <c r="N1" s="24"/>
      <c r="O1" s="24"/>
      <c r="P1" s="24"/>
      <c r="Q1" s="24"/>
      <c r="R1" s="24"/>
      <c r="S1" s="111"/>
      <c r="T1" s="111"/>
      <c r="U1" s="111"/>
      <c r="V1" s="111"/>
      <c r="W1" s="204" t="s">
        <v>178</v>
      </c>
      <c r="X1" s="205">
        <f>'Site Ground Motions'!X1</f>
        <v>2.1</v>
      </c>
    </row>
    <row r="2" spans="1:24" ht="15" customHeight="1" x14ac:dyDescent="0.2">
      <c r="A2" s="28"/>
      <c r="B2" s="29"/>
      <c r="C2" s="29"/>
      <c r="D2" s="207" t="s">
        <v>135</v>
      </c>
      <c r="E2" s="346" t="str">
        <f>+IF('Site Ground Motions'!E2="","",'Site Ground Motions'!E2)</f>
        <v/>
      </c>
      <c r="F2" s="346"/>
      <c r="G2" s="346"/>
      <c r="H2" s="216" t="s">
        <v>136</v>
      </c>
      <c r="I2" s="218" t="str">
        <f>+IF('Site Ground Motions'!I2="","",'Site Ground Motions'!I2)</f>
        <v/>
      </c>
      <c r="J2" s="210" t="s">
        <v>182</v>
      </c>
      <c r="K2" s="24"/>
      <c r="L2" s="26" t="s">
        <v>137</v>
      </c>
      <c r="M2" s="26"/>
      <c r="N2" s="24"/>
      <c r="O2" s="24"/>
      <c r="P2" s="24"/>
      <c r="Q2" s="24"/>
      <c r="R2" s="24"/>
      <c r="S2" s="111"/>
      <c r="T2" s="111"/>
      <c r="U2" s="111"/>
      <c r="V2" s="111"/>
      <c r="W2" s="204" t="s">
        <v>179</v>
      </c>
      <c r="X2" s="215">
        <f>'Site Ground Motions'!X2</f>
        <v>45201</v>
      </c>
    </row>
    <row r="3" spans="1:24" ht="15" customHeight="1" x14ac:dyDescent="0.2">
      <c r="A3" s="28"/>
      <c r="B3" s="29"/>
      <c r="C3" s="29"/>
      <c r="D3" s="207" t="s">
        <v>138</v>
      </c>
      <c r="E3" s="346" t="str">
        <f>+IF('Site Ground Motions'!E3="","",'Site Ground Motions'!E3)</f>
        <v/>
      </c>
      <c r="F3" s="346"/>
      <c r="G3" s="346"/>
      <c r="H3" s="216" t="s">
        <v>139</v>
      </c>
      <c r="I3" s="210" t="str">
        <f>+IF('Site Ground Motions'!I3="","",'Site Ground Motions'!I3)</f>
        <v/>
      </c>
      <c r="J3" s="209" t="s">
        <v>140</v>
      </c>
      <c r="K3" s="24"/>
      <c r="L3" s="30"/>
      <c r="M3" s="30"/>
      <c r="N3" s="24"/>
      <c r="O3" s="24"/>
      <c r="P3" s="24"/>
      <c r="Q3" s="24"/>
      <c r="R3" s="24"/>
      <c r="S3" s="111"/>
      <c r="T3" s="111"/>
      <c r="U3" s="111"/>
      <c r="V3" s="111"/>
      <c r="W3" s="111"/>
      <c r="X3" s="111"/>
    </row>
    <row r="4" spans="1:24" ht="15" customHeight="1" x14ac:dyDescent="0.25">
      <c r="A4" s="31"/>
      <c r="B4" s="32"/>
      <c r="C4" s="32"/>
      <c r="D4" s="207" t="s">
        <v>141</v>
      </c>
      <c r="E4" s="346" t="s">
        <v>176</v>
      </c>
      <c r="F4" s="346"/>
      <c r="G4" s="346"/>
      <c r="H4" s="216" t="s">
        <v>136</v>
      </c>
      <c r="I4" s="210" t="str">
        <f>+IF('Site Ground Motions'!I4="","",'Site Ground Motions'!I4)</f>
        <v/>
      </c>
      <c r="J4" s="211" t="str">
        <f>+IF('Site Ground Motions'!J4="","",'Site Ground Motions'!J4)</f>
        <v/>
      </c>
      <c r="K4" s="24"/>
      <c r="L4" s="339" t="s">
        <v>164</v>
      </c>
      <c r="M4" s="339"/>
      <c r="N4" s="339"/>
      <c r="O4" s="339"/>
      <c r="P4" s="339"/>
      <c r="Q4" s="339"/>
      <c r="R4" s="339"/>
      <c r="S4" s="339"/>
      <c r="T4" s="111"/>
      <c r="U4" s="111"/>
      <c r="V4" s="111"/>
      <c r="W4" s="111"/>
      <c r="X4" s="111"/>
    </row>
    <row r="5" spans="1:24" ht="15" customHeight="1" x14ac:dyDescent="0.2">
      <c r="A5" s="42"/>
      <c r="B5" s="43"/>
      <c r="C5" s="43"/>
      <c r="D5" s="43"/>
      <c r="E5" s="43"/>
      <c r="F5" s="43"/>
      <c r="G5" s="43"/>
      <c r="H5" s="43"/>
      <c r="I5" s="43"/>
      <c r="J5" s="44"/>
      <c r="K5" s="24"/>
      <c r="L5" s="68"/>
      <c r="M5" s="317" t="s">
        <v>165</v>
      </c>
      <c r="N5" s="318"/>
      <c r="O5" s="318"/>
      <c r="P5" s="318"/>
      <c r="Q5" s="318"/>
      <c r="R5" s="318"/>
      <c r="S5" s="318"/>
      <c r="T5" s="111"/>
      <c r="U5" s="111"/>
      <c r="V5" s="111"/>
      <c r="W5" s="111"/>
      <c r="X5" s="111"/>
    </row>
    <row r="6" spans="1:24" ht="15" customHeight="1" thickBot="1" x14ac:dyDescent="0.3">
      <c r="A6" s="45" t="s">
        <v>118</v>
      </c>
      <c r="B6" s="21"/>
      <c r="C6" s="21"/>
      <c r="D6" s="21"/>
      <c r="E6" s="21"/>
      <c r="F6" s="21"/>
      <c r="H6" s="46"/>
      <c r="J6" s="47"/>
      <c r="K6" s="24"/>
      <c r="L6" s="38">
        <v>888</v>
      </c>
      <c r="M6" s="319" t="s">
        <v>166</v>
      </c>
      <c r="N6" s="320"/>
      <c r="O6" s="320"/>
      <c r="P6" s="320"/>
      <c r="Q6" s="320"/>
      <c r="R6" s="320"/>
      <c r="S6" s="320"/>
      <c r="T6" s="111"/>
      <c r="U6" s="111"/>
      <c r="V6" s="111"/>
      <c r="W6" s="111"/>
      <c r="X6" s="111"/>
    </row>
    <row r="7" spans="1:24" ht="15" customHeight="1" x14ac:dyDescent="0.25">
      <c r="A7" s="48"/>
      <c r="J7" s="47"/>
      <c r="K7" s="24"/>
      <c r="L7" s="71">
        <v>1.05</v>
      </c>
      <c r="M7" s="320" t="s">
        <v>167</v>
      </c>
      <c r="N7" s="320"/>
      <c r="O7" s="320"/>
      <c r="P7" s="320"/>
      <c r="Q7" s="320"/>
      <c r="R7" s="320"/>
      <c r="S7" s="320"/>
      <c r="T7" s="111"/>
      <c r="U7" s="111"/>
      <c r="V7" s="111"/>
      <c r="W7" s="111"/>
      <c r="X7" s="111"/>
    </row>
    <row r="8" spans="1:24" ht="15" customHeight="1" x14ac:dyDescent="0.2">
      <c r="A8" s="48"/>
      <c r="B8" s="49" t="s">
        <v>77</v>
      </c>
      <c r="J8" s="47"/>
      <c r="K8" s="24"/>
      <c r="L8" s="24"/>
      <c r="M8" s="24"/>
      <c r="N8" s="24"/>
      <c r="O8" s="24"/>
      <c r="P8" s="24"/>
      <c r="Q8" s="24"/>
      <c r="R8" s="24"/>
      <c r="S8" s="111"/>
      <c r="T8" s="111"/>
      <c r="U8" s="111"/>
      <c r="V8" s="111"/>
      <c r="W8" s="111"/>
      <c r="X8" s="111"/>
    </row>
    <row r="9" spans="1:24" ht="15" customHeight="1" x14ac:dyDescent="0.2">
      <c r="A9" s="48"/>
      <c r="J9" s="47"/>
      <c r="K9" s="136"/>
      <c r="L9" s="137">
        <v>0</v>
      </c>
      <c r="M9" s="137">
        <v>0.8</v>
      </c>
      <c r="N9" s="137">
        <v>0</v>
      </c>
      <c r="O9" s="137">
        <v>0.9</v>
      </c>
      <c r="P9" s="137">
        <v>0</v>
      </c>
      <c r="Q9" s="137">
        <v>1.3</v>
      </c>
      <c r="R9" s="137">
        <v>0</v>
      </c>
      <c r="S9" s="137">
        <v>1.6</v>
      </c>
      <c r="T9" s="137">
        <v>0</v>
      </c>
      <c r="U9" s="137">
        <v>2.4</v>
      </c>
      <c r="V9" s="136"/>
      <c r="W9" s="136"/>
      <c r="X9" s="136"/>
    </row>
    <row r="10" spans="1:24" ht="15" customHeight="1" x14ac:dyDescent="0.3">
      <c r="A10" s="48"/>
      <c r="B10" s="20"/>
      <c r="C10" s="356" t="s">
        <v>78</v>
      </c>
      <c r="D10" s="357"/>
      <c r="E10" s="357"/>
      <c r="F10" s="357"/>
      <c r="G10" s="358"/>
      <c r="J10" s="47"/>
      <c r="K10" s="136"/>
      <c r="L10" s="137">
        <v>0.25</v>
      </c>
      <c r="M10" s="137">
        <v>0.8</v>
      </c>
      <c r="N10" s="137">
        <v>0.25</v>
      </c>
      <c r="O10" s="137">
        <v>0.9</v>
      </c>
      <c r="P10" s="137">
        <v>0.25</v>
      </c>
      <c r="Q10" s="137">
        <v>1.3</v>
      </c>
      <c r="R10" s="137">
        <v>0.25</v>
      </c>
      <c r="S10" s="137">
        <v>1.6</v>
      </c>
      <c r="T10" s="137">
        <v>0.25</v>
      </c>
      <c r="U10" s="137">
        <v>2.4</v>
      </c>
      <c r="V10" s="136"/>
      <c r="W10" s="136"/>
      <c r="X10" s="136"/>
    </row>
    <row r="11" spans="1:24" ht="15" customHeight="1" x14ac:dyDescent="0.2">
      <c r="A11" s="48"/>
      <c r="B11" s="19"/>
      <c r="C11" s="353" t="s">
        <v>79</v>
      </c>
      <c r="D11" s="354"/>
      <c r="E11" s="354"/>
      <c r="F11" s="354"/>
      <c r="G11" s="355"/>
      <c r="J11" s="47"/>
      <c r="K11" s="302" t="s">
        <v>221</v>
      </c>
      <c r="L11" s="137">
        <v>0.5</v>
      </c>
      <c r="M11" s="137">
        <v>0.8</v>
      </c>
      <c r="N11" s="137">
        <v>0.5</v>
      </c>
      <c r="O11" s="137">
        <v>0.9</v>
      </c>
      <c r="P11" s="137">
        <v>0.5</v>
      </c>
      <c r="Q11" s="137">
        <v>1.3</v>
      </c>
      <c r="R11" s="137">
        <v>0.5</v>
      </c>
      <c r="S11" s="137">
        <v>1.4</v>
      </c>
      <c r="T11" s="137">
        <v>0.5</v>
      </c>
      <c r="U11" s="137">
        <v>1.7</v>
      </c>
      <c r="V11" s="136"/>
      <c r="W11" s="136"/>
      <c r="X11" s="136"/>
    </row>
    <row r="12" spans="1:24" ht="15" customHeight="1" x14ac:dyDescent="0.2">
      <c r="A12" s="48"/>
      <c r="B12" s="18" t="s">
        <v>64</v>
      </c>
      <c r="C12" s="58">
        <v>0.25</v>
      </c>
      <c r="D12" s="59">
        <v>0.5</v>
      </c>
      <c r="E12" s="59">
        <v>0.75</v>
      </c>
      <c r="F12" s="59">
        <v>1</v>
      </c>
      <c r="G12" s="59">
        <v>1.25</v>
      </c>
      <c r="H12" s="60">
        <v>1.5</v>
      </c>
      <c r="J12" s="47"/>
      <c r="K12" s="136"/>
      <c r="L12" s="137">
        <v>0.75</v>
      </c>
      <c r="M12" s="137">
        <v>0.8</v>
      </c>
      <c r="N12" s="137">
        <v>0.75</v>
      </c>
      <c r="O12" s="137">
        <v>0.9</v>
      </c>
      <c r="P12" s="137">
        <v>0.75</v>
      </c>
      <c r="Q12" s="137">
        <v>1.2</v>
      </c>
      <c r="R12" s="137">
        <v>0.75</v>
      </c>
      <c r="S12" s="137">
        <v>1.2</v>
      </c>
      <c r="T12" s="137">
        <v>0.75</v>
      </c>
      <c r="U12" s="137">
        <v>1.3</v>
      </c>
      <c r="V12" s="136"/>
      <c r="W12" s="136"/>
      <c r="X12" s="136"/>
    </row>
    <row r="13" spans="1:24" ht="15" customHeight="1" x14ac:dyDescent="0.2">
      <c r="A13" s="48"/>
      <c r="B13" s="16" t="s">
        <v>56</v>
      </c>
      <c r="C13" s="17">
        <v>0.8</v>
      </c>
      <c r="D13" s="17">
        <v>0.8</v>
      </c>
      <c r="E13" s="17">
        <v>0.8</v>
      </c>
      <c r="F13" s="17">
        <v>0.8</v>
      </c>
      <c r="G13" s="17">
        <v>0.8</v>
      </c>
      <c r="H13" s="17">
        <v>0.8</v>
      </c>
      <c r="J13" s="47"/>
      <c r="K13" s="136"/>
      <c r="L13" s="137">
        <v>1</v>
      </c>
      <c r="M13" s="137">
        <v>0.8</v>
      </c>
      <c r="N13" s="137">
        <v>1</v>
      </c>
      <c r="O13" s="137">
        <v>0.9</v>
      </c>
      <c r="P13" s="137">
        <v>1</v>
      </c>
      <c r="Q13" s="137">
        <v>1.2</v>
      </c>
      <c r="R13" s="137">
        <v>1</v>
      </c>
      <c r="S13" s="137">
        <v>1.1000000000000001</v>
      </c>
      <c r="T13" s="137">
        <v>1</v>
      </c>
      <c r="U13" s="137"/>
      <c r="V13" s="136"/>
      <c r="W13" s="136"/>
      <c r="X13" s="136"/>
    </row>
    <row r="14" spans="1:24" ht="15" customHeight="1" x14ac:dyDescent="0.2">
      <c r="A14" s="48"/>
      <c r="B14" s="16" t="s">
        <v>55</v>
      </c>
      <c r="C14" s="17">
        <v>0.9</v>
      </c>
      <c r="D14" s="17">
        <v>0.9</v>
      </c>
      <c r="E14" s="17">
        <v>0.9</v>
      </c>
      <c r="F14" s="17">
        <v>0.9</v>
      </c>
      <c r="G14" s="17">
        <v>0.9</v>
      </c>
      <c r="H14" s="17">
        <v>0.9</v>
      </c>
      <c r="J14" s="47"/>
      <c r="K14" s="136"/>
      <c r="L14" s="137">
        <v>1.25</v>
      </c>
      <c r="M14" s="137">
        <v>0.8</v>
      </c>
      <c r="N14" s="137">
        <v>1.25</v>
      </c>
      <c r="O14" s="137">
        <v>0.9</v>
      </c>
      <c r="P14" s="137">
        <v>1.25</v>
      </c>
      <c r="Q14" s="137">
        <v>1.2</v>
      </c>
      <c r="R14" s="137">
        <v>1.25</v>
      </c>
      <c r="S14" s="137">
        <v>1</v>
      </c>
      <c r="T14" s="137">
        <v>1.25</v>
      </c>
      <c r="U14" s="137"/>
      <c r="V14" s="136"/>
      <c r="W14" s="136"/>
      <c r="X14" s="136"/>
    </row>
    <row r="15" spans="1:24" ht="15" customHeight="1" x14ac:dyDescent="0.2">
      <c r="A15" s="48"/>
      <c r="B15" s="16" t="s">
        <v>54</v>
      </c>
      <c r="C15" s="17">
        <v>1.3</v>
      </c>
      <c r="D15" s="17">
        <v>1.3</v>
      </c>
      <c r="E15" s="17">
        <v>1.2</v>
      </c>
      <c r="F15" s="17">
        <v>1.2</v>
      </c>
      <c r="G15" s="17">
        <v>1.2</v>
      </c>
      <c r="H15" s="17">
        <v>1.2</v>
      </c>
      <c r="J15" s="47"/>
      <c r="K15" s="136"/>
      <c r="L15" s="137">
        <v>1.5</v>
      </c>
      <c r="M15" s="137">
        <v>0.8</v>
      </c>
      <c r="N15" s="137">
        <v>1.5</v>
      </c>
      <c r="O15" s="137">
        <v>0.9</v>
      </c>
      <c r="P15" s="137">
        <v>1.5</v>
      </c>
      <c r="Q15" s="137">
        <v>1.2</v>
      </c>
      <c r="R15" s="137">
        <v>1.5</v>
      </c>
      <c r="S15" s="137">
        <v>1</v>
      </c>
      <c r="T15" s="137">
        <v>1.5</v>
      </c>
      <c r="U15" s="137"/>
      <c r="V15" s="136"/>
      <c r="W15" s="136"/>
      <c r="X15" s="136"/>
    </row>
    <row r="16" spans="1:24" ht="15" customHeight="1" x14ac:dyDescent="0.2">
      <c r="A16" s="48"/>
      <c r="B16" s="16" t="s">
        <v>1</v>
      </c>
      <c r="C16" s="17">
        <v>1.6</v>
      </c>
      <c r="D16" s="17">
        <v>1.4</v>
      </c>
      <c r="E16" s="17">
        <v>1.2</v>
      </c>
      <c r="F16" s="17">
        <v>1.1000000000000001</v>
      </c>
      <c r="G16" s="17">
        <v>1</v>
      </c>
      <c r="H16" s="17">
        <v>1</v>
      </c>
      <c r="J16" s="47"/>
      <c r="K16" s="138"/>
      <c r="L16" s="139" t="s">
        <v>63</v>
      </c>
      <c r="M16" s="140">
        <f>C36</f>
        <v>0.88700000000000001</v>
      </c>
      <c r="N16" s="141" t="s">
        <v>63</v>
      </c>
      <c r="O16" s="140">
        <f>C36</f>
        <v>0.88700000000000001</v>
      </c>
      <c r="P16" s="141" t="s">
        <v>63</v>
      </c>
      <c r="Q16" s="140">
        <f>C36</f>
        <v>0.88700000000000001</v>
      </c>
      <c r="R16" s="141" t="s">
        <v>63</v>
      </c>
      <c r="S16" s="140">
        <f>C36</f>
        <v>0.88700000000000001</v>
      </c>
      <c r="T16" s="141" t="s">
        <v>63</v>
      </c>
      <c r="U16" s="140">
        <f>C36</f>
        <v>0.88700000000000001</v>
      </c>
      <c r="V16" s="136"/>
      <c r="W16" s="136"/>
      <c r="X16" s="136"/>
    </row>
    <row r="17" spans="1:24" ht="15" customHeight="1" x14ac:dyDescent="0.2">
      <c r="A17" s="48"/>
      <c r="B17" s="16" t="s">
        <v>51</v>
      </c>
      <c r="C17" s="17">
        <v>2.4</v>
      </c>
      <c r="D17" s="17">
        <v>1.7</v>
      </c>
      <c r="E17" s="17">
        <v>1.3</v>
      </c>
      <c r="F17" s="359" t="s">
        <v>119</v>
      </c>
      <c r="G17" s="360"/>
      <c r="H17" s="361"/>
      <c r="J17" s="47"/>
      <c r="K17" s="138"/>
      <c r="L17" s="139" t="s">
        <v>62</v>
      </c>
      <c r="M17" s="141">
        <f>MATCH(TargetFaA,FaAx,1)</f>
        <v>4</v>
      </c>
      <c r="N17" s="141" t="s">
        <v>62</v>
      </c>
      <c r="O17" s="141">
        <f>MATCH(TargetFaB,FaBx,1)</f>
        <v>4</v>
      </c>
      <c r="P17" s="141" t="s">
        <v>62</v>
      </c>
      <c r="Q17" s="141">
        <f>MATCH(TargetFaC,FaCx,1)</f>
        <v>4</v>
      </c>
      <c r="R17" s="141" t="s">
        <v>62</v>
      </c>
      <c r="S17" s="141">
        <f>MATCH(TargetFaD,FaDx,1)</f>
        <v>4</v>
      </c>
      <c r="T17" s="141" t="s">
        <v>62</v>
      </c>
      <c r="U17" s="141">
        <f>MATCH(TargetFaE,FaEx,1)</f>
        <v>4</v>
      </c>
      <c r="V17" s="136"/>
      <c r="W17" s="136"/>
      <c r="X17" s="136"/>
    </row>
    <row r="18" spans="1:24" ht="15" customHeight="1" x14ac:dyDescent="0.2">
      <c r="A18" s="48"/>
      <c r="B18" s="16" t="s">
        <v>60</v>
      </c>
      <c r="C18" s="350" t="s">
        <v>119</v>
      </c>
      <c r="D18" s="351"/>
      <c r="E18" s="351"/>
      <c r="F18" s="351"/>
      <c r="G18" s="351"/>
      <c r="H18" s="352"/>
      <c r="J18" s="47"/>
      <c r="K18" s="138"/>
      <c r="L18" s="139" t="s">
        <v>61</v>
      </c>
      <c r="M18" s="141">
        <f>0.8</f>
        <v>0.8</v>
      </c>
      <c r="N18" s="141" t="s">
        <v>61</v>
      </c>
      <c r="O18" s="141">
        <v>0.9</v>
      </c>
      <c r="P18" s="141" t="s">
        <v>61</v>
      </c>
      <c r="Q18" s="141">
        <f ca="1">FORECAST(TargetFaC,OFFSET(FaCy,MatchFaC-1,0,2,1),OFFSET(FaCx,MatchFaC-1,0,2,1))</f>
        <v>1.2</v>
      </c>
      <c r="R18" s="141" t="s">
        <v>61</v>
      </c>
      <c r="S18" s="141">
        <f ca="1">FORECAST(TargetFaD,OFFSET(FaDy,MatchFaD-1,0,2,1),OFFSET(FaDx,MatchFaD-1,0,2,1))</f>
        <v>1.1452</v>
      </c>
      <c r="T18" s="141" t="s">
        <v>61</v>
      </c>
      <c r="U18" s="141" t="e">
        <f ca="1">FORECAST(TargetFaE,OFFSET(FaEy,MatchFaE-1,0,2,1),OFFSET(FaEx,MatchFaE-1,0,2,1))</f>
        <v>#DIV/0!</v>
      </c>
      <c r="V18" s="136"/>
      <c r="W18" s="136"/>
      <c r="X18" s="136"/>
    </row>
    <row r="19" spans="1:24" ht="15" customHeight="1" x14ac:dyDescent="0.2">
      <c r="A19" s="48"/>
      <c r="B19" s="15" t="s">
        <v>76</v>
      </c>
      <c r="J19" s="47"/>
      <c r="K19" s="136"/>
      <c r="L19" s="137"/>
      <c r="M19" s="137"/>
      <c r="N19" s="137"/>
      <c r="O19" s="137"/>
      <c r="P19" s="137"/>
      <c r="Q19" s="137"/>
      <c r="R19" s="137"/>
      <c r="S19" s="137"/>
      <c r="T19" s="137"/>
      <c r="U19" s="137"/>
      <c r="V19" s="136"/>
      <c r="W19" s="136"/>
      <c r="X19" s="136"/>
    </row>
    <row r="20" spans="1:24" ht="15" customHeight="1" x14ac:dyDescent="0.2">
      <c r="A20" s="48"/>
      <c r="J20" s="47"/>
      <c r="K20" s="136"/>
      <c r="L20" s="136"/>
      <c r="M20" s="136"/>
      <c r="N20" s="136"/>
      <c r="O20" s="136"/>
      <c r="P20" s="136"/>
      <c r="Q20" s="136"/>
      <c r="R20" s="136"/>
      <c r="S20" s="136"/>
      <c r="T20" s="136"/>
      <c r="U20" s="136"/>
      <c r="V20" s="136"/>
      <c r="W20" s="136"/>
      <c r="X20" s="136"/>
    </row>
    <row r="21" spans="1:24" ht="15" customHeight="1" x14ac:dyDescent="0.2">
      <c r="A21" s="48"/>
      <c r="B21" s="49" t="s">
        <v>65</v>
      </c>
      <c r="J21" s="47"/>
      <c r="K21" s="136"/>
      <c r="L21" s="137" t="s">
        <v>75</v>
      </c>
      <c r="M21" s="137" t="s">
        <v>74</v>
      </c>
      <c r="N21" s="137" t="s">
        <v>73</v>
      </c>
      <c r="O21" s="137" t="s">
        <v>72</v>
      </c>
      <c r="P21" s="137" t="s">
        <v>71</v>
      </c>
      <c r="Q21" s="137" t="s">
        <v>70</v>
      </c>
      <c r="R21" s="137" t="s">
        <v>69</v>
      </c>
      <c r="S21" s="137" t="s">
        <v>68</v>
      </c>
      <c r="T21" s="137" t="s">
        <v>67</v>
      </c>
      <c r="U21" s="137" t="s">
        <v>66</v>
      </c>
      <c r="V21" s="136"/>
      <c r="W21" s="136"/>
      <c r="X21" s="136"/>
    </row>
    <row r="22" spans="1:24" ht="15" customHeight="1" x14ac:dyDescent="0.2">
      <c r="A22" s="48"/>
      <c r="J22" s="47"/>
      <c r="K22" s="136"/>
      <c r="L22" s="137">
        <v>0</v>
      </c>
      <c r="M22" s="137">
        <v>0.8</v>
      </c>
      <c r="N22" s="137">
        <v>0</v>
      </c>
      <c r="O22" s="137">
        <v>0.8</v>
      </c>
      <c r="P22" s="137">
        <v>0</v>
      </c>
      <c r="Q22" s="137">
        <v>1.5</v>
      </c>
      <c r="R22" s="137">
        <v>0</v>
      </c>
      <c r="S22" s="137">
        <v>2.4</v>
      </c>
      <c r="T22" s="137">
        <v>0</v>
      </c>
      <c r="U22" s="137">
        <v>4.2</v>
      </c>
      <c r="V22" s="136"/>
      <c r="W22" s="136"/>
      <c r="X22" s="136"/>
    </row>
    <row r="23" spans="1:24" ht="15" customHeight="1" x14ac:dyDescent="0.3">
      <c r="A23" s="48"/>
      <c r="B23" s="20"/>
      <c r="C23" s="356" t="s">
        <v>78</v>
      </c>
      <c r="D23" s="357"/>
      <c r="E23" s="357"/>
      <c r="F23" s="357"/>
      <c r="G23" s="358"/>
      <c r="J23" s="47"/>
      <c r="K23" s="136"/>
      <c r="L23" s="137">
        <v>0.1</v>
      </c>
      <c r="M23" s="137">
        <v>0.8</v>
      </c>
      <c r="N23" s="137">
        <v>0.1</v>
      </c>
      <c r="O23" s="137">
        <v>0.8</v>
      </c>
      <c r="P23" s="137">
        <v>0.1</v>
      </c>
      <c r="Q23" s="137">
        <v>1.5</v>
      </c>
      <c r="R23" s="137">
        <v>0.1</v>
      </c>
      <c r="S23" s="137">
        <v>2.4</v>
      </c>
      <c r="T23" s="137">
        <v>0.1</v>
      </c>
      <c r="U23" s="137">
        <v>4.2</v>
      </c>
      <c r="V23" s="136"/>
      <c r="W23" s="136"/>
      <c r="X23" s="136"/>
    </row>
    <row r="24" spans="1:24" ht="15" customHeight="1" x14ac:dyDescent="0.2">
      <c r="A24" s="48"/>
      <c r="B24" s="19"/>
      <c r="C24" s="353" t="s">
        <v>80</v>
      </c>
      <c r="D24" s="354"/>
      <c r="E24" s="354"/>
      <c r="F24" s="354"/>
      <c r="G24" s="355"/>
      <c r="J24" s="47"/>
      <c r="K24" s="136"/>
      <c r="L24" s="137">
        <v>0.2</v>
      </c>
      <c r="M24" s="137">
        <v>0.8</v>
      </c>
      <c r="N24" s="137">
        <v>0.2</v>
      </c>
      <c r="O24" s="137">
        <v>0.8</v>
      </c>
      <c r="P24" s="137">
        <v>0.2</v>
      </c>
      <c r="Q24" s="137">
        <v>1.5</v>
      </c>
      <c r="R24" s="137">
        <v>0.2</v>
      </c>
      <c r="S24" s="137">
        <v>2.2000000000000002</v>
      </c>
      <c r="T24" s="137">
        <v>0.2</v>
      </c>
      <c r="U24" s="137"/>
      <c r="V24" s="136"/>
      <c r="W24" s="136"/>
      <c r="X24" s="136"/>
    </row>
    <row r="25" spans="1:24" ht="15" customHeight="1" x14ac:dyDescent="0.2">
      <c r="A25" s="48"/>
      <c r="B25" s="18" t="s">
        <v>64</v>
      </c>
      <c r="C25" s="61">
        <v>0.1</v>
      </c>
      <c r="D25" s="62">
        <v>0.2</v>
      </c>
      <c r="E25" s="62">
        <v>0.3</v>
      </c>
      <c r="F25" s="62">
        <v>0.4</v>
      </c>
      <c r="G25" s="62">
        <v>0.5</v>
      </c>
      <c r="H25" s="63">
        <v>0.6</v>
      </c>
      <c r="J25" s="47"/>
      <c r="K25" s="136"/>
      <c r="L25" s="137">
        <v>0.3</v>
      </c>
      <c r="M25" s="137">
        <v>0.8</v>
      </c>
      <c r="N25" s="137">
        <v>0.3</v>
      </c>
      <c r="O25" s="137">
        <v>0.8</v>
      </c>
      <c r="P25" s="137">
        <v>0.3</v>
      </c>
      <c r="Q25" s="137">
        <v>1.5</v>
      </c>
      <c r="R25" s="137">
        <v>0.3</v>
      </c>
      <c r="S25" s="137">
        <v>2</v>
      </c>
      <c r="T25" s="137">
        <v>0.3</v>
      </c>
      <c r="U25" s="137"/>
      <c r="V25" s="136"/>
      <c r="W25" s="136"/>
      <c r="X25" s="136"/>
    </row>
    <row r="26" spans="1:24" ht="15" customHeight="1" x14ac:dyDescent="0.2">
      <c r="A26" s="48"/>
      <c r="B26" s="16" t="s">
        <v>56</v>
      </c>
      <c r="C26" s="17">
        <v>0.8</v>
      </c>
      <c r="D26" s="17">
        <v>0.8</v>
      </c>
      <c r="E26" s="17">
        <v>0.8</v>
      </c>
      <c r="F26" s="17">
        <v>0.8</v>
      </c>
      <c r="G26" s="17">
        <v>0.8</v>
      </c>
      <c r="H26" s="17">
        <v>0.8</v>
      </c>
      <c r="J26" s="47"/>
      <c r="K26" s="138"/>
      <c r="L26" s="137">
        <v>0.4</v>
      </c>
      <c r="M26" s="137">
        <v>0.8</v>
      </c>
      <c r="N26" s="137">
        <v>0.4</v>
      </c>
      <c r="O26" s="137">
        <v>0.8</v>
      </c>
      <c r="P26" s="137">
        <v>0.4</v>
      </c>
      <c r="Q26" s="137">
        <v>1.5</v>
      </c>
      <c r="R26" s="137">
        <v>0.4</v>
      </c>
      <c r="S26" s="137">
        <v>1.9</v>
      </c>
      <c r="T26" s="137">
        <v>0.4</v>
      </c>
      <c r="U26" s="137"/>
      <c r="V26" s="136"/>
      <c r="W26" s="136"/>
      <c r="X26" s="136"/>
    </row>
    <row r="27" spans="1:24" ht="15" customHeight="1" x14ac:dyDescent="0.2">
      <c r="A27" s="48"/>
      <c r="B27" s="16" t="s">
        <v>55</v>
      </c>
      <c r="C27" s="17">
        <v>0.8</v>
      </c>
      <c r="D27" s="17">
        <v>0.8</v>
      </c>
      <c r="E27" s="17">
        <v>0.8</v>
      </c>
      <c r="F27" s="17">
        <v>0.8</v>
      </c>
      <c r="G27" s="17">
        <v>0.8</v>
      </c>
      <c r="H27" s="17">
        <v>0.8</v>
      </c>
      <c r="J27" s="47"/>
      <c r="K27" s="138"/>
      <c r="L27" s="137">
        <v>0.5</v>
      </c>
      <c r="M27" s="137">
        <v>0.8</v>
      </c>
      <c r="N27" s="137">
        <v>0.5</v>
      </c>
      <c r="O27" s="137">
        <v>0.8</v>
      </c>
      <c r="P27" s="137">
        <v>0.5</v>
      </c>
      <c r="Q27" s="137">
        <v>1.5</v>
      </c>
      <c r="R27" s="137">
        <v>0.5</v>
      </c>
      <c r="S27" s="137">
        <v>1.8</v>
      </c>
      <c r="T27" s="137">
        <v>0.5</v>
      </c>
      <c r="U27" s="137"/>
      <c r="V27" s="136"/>
      <c r="W27" s="136"/>
      <c r="X27" s="136"/>
    </row>
    <row r="28" spans="1:24" ht="15" customHeight="1" x14ac:dyDescent="0.2">
      <c r="A28" s="48"/>
      <c r="B28" s="16" t="s">
        <v>54</v>
      </c>
      <c r="C28" s="17">
        <v>1.5</v>
      </c>
      <c r="D28" s="17">
        <v>1.5</v>
      </c>
      <c r="E28" s="17">
        <v>1.5</v>
      </c>
      <c r="F28" s="17">
        <v>1.5</v>
      </c>
      <c r="G28" s="17">
        <v>1.5</v>
      </c>
      <c r="H28" s="17">
        <v>1.4</v>
      </c>
      <c r="J28" s="47"/>
      <c r="K28" s="138"/>
      <c r="L28" s="137">
        <v>0.6</v>
      </c>
      <c r="M28" s="137">
        <v>0.8</v>
      </c>
      <c r="N28" s="137">
        <v>0.6</v>
      </c>
      <c r="O28" s="137">
        <v>0.8</v>
      </c>
      <c r="P28" s="137">
        <v>0.6</v>
      </c>
      <c r="Q28" s="137">
        <v>1.4</v>
      </c>
      <c r="R28" s="137">
        <v>0.6</v>
      </c>
      <c r="S28" s="137">
        <v>1.7</v>
      </c>
      <c r="T28" s="137">
        <v>0.6</v>
      </c>
      <c r="U28" s="137"/>
      <c r="V28" s="136"/>
      <c r="W28" s="136"/>
      <c r="X28" s="136"/>
    </row>
    <row r="29" spans="1:24" ht="15" customHeight="1" x14ac:dyDescent="0.2">
      <c r="A29" s="48"/>
      <c r="B29" s="16" t="s">
        <v>1</v>
      </c>
      <c r="C29" s="17">
        <v>2.4</v>
      </c>
      <c r="D29" s="17">
        <v>2.2000000000000002</v>
      </c>
      <c r="E29" s="17">
        <v>2</v>
      </c>
      <c r="F29" s="17">
        <v>1.9</v>
      </c>
      <c r="G29" s="17">
        <v>1.8</v>
      </c>
      <c r="H29" s="17">
        <v>1.7</v>
      </c>
      <c r="J29" s="47"/>
      <c r="K29" s="136"/>
      <c r="L29" s="139" t="s">
        <v>63</v>
      </c>
      <c r="M29" s="140">
        <f>C37</f>
        <v>0.41</v>
      </c>
      <c r="N29" s="141" t="s">
        <v>63</v>
      </c>
      <c r="O29" s="140">
        <f>C37</f>
        <v>0.41</v>
      </c>
      <c r="P29" s="141" t="s">
        <v>63</v>
      </c>
      <c r="Q29" s="140">
        <f>C37</f>
        <v>0.41</v>
      </c>
      <c r="R29" s="141" t="s">
        <v>63</v>
      </c>
      <c r="S29" s="140">
        <f>C37</f>
        <v>0.41</v>
      </c>
      <c r="T29" s="141" t="s">
        <v>63</v>
      </c>
      <c r="U29" s="140">
        <f>C37</f>
        <v>0.41</v>
      </c>
      <c r="V29" s="136"/>
      <c r="W29" s="136"/>
      <c r="X29" s="136"/>
    </row>
    <row r="30" spans="1:24" ht="15" customHeight="1" x14ac:dyDescent="0.2">
      <c r="A30" s="48"/>
      <c r="B30" s="16" t="s">
        <v>51</v>
      </c>
      <c r="C30" s="17">
        <v>4.2</v>
      </c>
      <c r="D30" s="347" t="s">
        <v>119</v>
      </c>
      <c r="E30" s="348"/>
      <c r="F30" s="348"/>
      <c r="G30" s="348"/>
      <c r="H30" s="349"/>
      <c r="J30" s="47"/>
      <c r="K30" s="136"/>
      <c r="L30" s="139" t="s">
        <v>62</v>
      </c>
      <c r="M30" s="141">
        <f>MATCH(TargetFvA,FvAx,1)</f>
        <v>5</v>
      </c>
      <c r="N30" s="141" t="s">
        <v>62</v>
      </c>
      <c r="O30" s="141">
        <f>MATCH(TargetFvB,FvBx,1)</f>
        <v>5</v>
      </c>
      <c r="P30" s="141" t="s">
        <v>62</v>
      </c>
      <c r="Q30" s="141">
        <f>MATCH(TargetFvC,FvCx,1)</f>
        <v>5</v>
      </c>
      <c r="R30" s="141" t="s">
        <v>62</v>
      </c>
      <c r="S30" s="141">
        <f>MATCH(TargetFvD,FvDx,1)</f>
        <v>5</v>
      </c>
      <c r="T30" s="141" t="s">
        <v>62</v>
      </c>
      <c r="U30" s="141">
        <f>MATCH(TargetFvE,FvEx,1)</f>
        <v>5</v>
      </c>
      <c r="V30" s="136"/>
      <c r="W30" s="136"/>
      <c r="X30" s="136"/>
    </row>
    <row r="31" spans="1:24" ht="15" customHeight="1" x14ac:dyDescent="0.2">
      <c r="A31" s="48"/>
      <c r="B31" s="16" t="s">
        <v>60</v>
      </c>
      <c r="C31" s="350" t="s">
        <v>119</v>
      </c>
      <c r="D31" s="351"/>
      <c r="E31" s="351"/>
      <c r="F31" s="351"/>
      <c r="G31" s="351"/>
      <c r="H31" s="352"/>
      <c r="J31" s="47"/>
      <c r="K31" s="136"/>
      <c r="L31" s="139" t="s">
        <v>61</v>
      </c>
      <c r="M31" s="141">
        <f>0.8</f>
        <v>0.8</v>
      </c>
      <c r="N31" s="141" t="s">
        <v>61</v>
      </c>
      <c r="O31" s="141">
        <v>0.8</v>
      </c>
      <c r="P31" s="141" t="s">
        <v>61</v>
      </c>
      <c r="Q31" s="141">
        <f ca="1">FORECAST(TargetFvC,OFFSET(FvCy,MatchFvC-1,0,2,1),OFFSET(FvCx,MatchFvC-1,0,2,1))</f>
        <v>1.5</v>
      </c>
      <c r="R31" s="141" t="s">
        <v>61</v>
      </c>
      <c r="S31" s="141">
        <f ca="1">FORECAST(TargetFvD,OFFSET(FvDy,MatchFvD-1,0,2,1),OFFSET(FvDx,MatchFvD-1,0,2,1))</f>
        <v>1.8900000000000001</v>
      </c>
      <c r="T31" s="141" t="s">
        <v>61</v>
      </c>
      <c r="U31" s="141" t="e">
        <f ca="1">FORECAST(TargetFvE,OFFSET(FvEy,MatchFvE-1,0,2,1),OFFSET(FvEx,MatchFvE-1,0,2,1))</f>
        <v>#DIV/0!</v>
      </c>
      <c r="V31" s="136"/>
      <c r="W31" s="136"/>
      <c r="X31" s="136"/>
    </row>
    <row r="32" spans="1:24" ht="15" customHeight="1" x14ac:dyDescent="0.3">
      <c r="A32" s="48"/>
      <c r="B32" s="15" t="s">
        <v>59</v>
      </c>
      <c r="J32" s="47"/>
      <c r="K32" s="136"/>
      <c r="L32" s="136"/>
      <c r="M32" s="136"/>
      <c r="N32" s="136"/>
      <c r="O32" s="137"/>
      <c r="P32" s="137"/>
      <c r="Q32" s="137"/>
      <c r="R32" s="137"/>
      <c r="S32" s="137"/>
      <c r="T32" s="137"/>
      <c r="U32" s="137"/>
      <c r="V32" s="136"/>
      <c r="W32" s="136"/>
      <c r="X32" s="136"/>
    </row>
    <row r="33" spans="1:24" ht="15" customHeight="1" x14ac:dyDescent="0.2">
      <c r="A33" s="48"/>
      <c r="J33" s="47"/>
      <c r="K33" s="136"/>
      <c r="L33" s="137"/>
      <c r="M33" s="137" t="s">
        <v>58</v>
      </c>
      <c r="N33" s="137" t="s">
        <v>57</v>
      </c>
      <c r="O33" s="137"/>
      <c r="P33" s="137"/>
      <c r="Q33" s="137"/>
      <c r="R33" s="137"/>
      <c r="S33" s="137"/>
      <c r="T33" s="137"/>
      <c r="U33" s="137"/>
      <c r="V33" s="136"/>
      <c r="W33" s="136"/>
      <c r="X33" s="136"/>
    </row>
    <row r="34" spans="1:24" ht="15" customHeight="1" x14ac:dyDescent="0.2">
      <c r="A34" s="48"/>
      <c r="B34" s="50" t="s">
        <v>53</v>
      </c>
      <c r="C34" s="65" t="str">
        <f>'Site Ground Motions'!C8</f>
        <v>D</v>
      </c>
      <c r="J34" s="47"/>
      <c r="K34" s="136"/>
      <c r="L34" s="137" t="s">
        <v>56</v>
      </c>
      <c r="M34" s="137">
        <f>M18</f>
        <v>0.8</v>
      </c>
      <c r="N34" s="137">
        <f>M31</f>
        <v>0.8</v>
      </c>
      <c r="O34" s="137"/>
      <c r="P34" s="137"/>
      <c r="Q34" s="137"/>
      <c r="R34" s="137"/>
      <c r="S34" s="137"/>
      <c r="T34" s="137"/>
      <c r="U34" s="137"/>
      <c r="V34" s="136"/>
      <c r="W34" s="136"/>
      <c r="X34" s="136"/>
    </row>
    <row r="35" spans="1:24" ht="15" customHeight="1" x14ac:dyDescent="0.2">
      <c r="A35" s="48"/>
      <c r="C35" s="66"/>
      <c r="J35" s="47"/>
      <c r="K35" s="136"/>
      <c r="L35" s="137" t="s">
        <v>55</v>
      </c>
      <c r="M35" s="137">
        <f>O18</f>
        <v>0.9</v>
      </c>
      <c r="N35" s="137">
        <f>O31</f>
        <v>0.8</v>
      </c>
      <c r="O35" s="137"/>
      <c r="P35" s="137"/>
      <c r="Q35" s="137"/>
      <c r="R35" s="137"/>
      <c r="S35" s="137"/>
      <c r="T35" s="137"/>
      <c r="U35" s="137"/>
      <c r="V35" s="136"/>
      <c r="W35" s="136"/>
      <c r="X35" s="136"/>
    </row>
    <row r="36" spans="1:24" ht="15" customHeight="1" x14ac:dyDescent="0.3">
      <c r="A36" s="48"/>
      <c r="B36" s="51" t="s">
        <v>52</v>
      </c>
      <c r="C36" s="67">
        <f>'Site Ground Motions'!C12</f>
        <v>0.88700000000000001</v>
      </c>
      <c r="J36" s="47"/>
      <c r="K36" s="136"/>
      <c r="L36" s="137" t="s">
        <v>54</v>
      </c>
      <c r="M36" s="137">
        <f ca="1">Q18</f>
        <v>1.2</v>
      </c>
      <c r="N36" s="137">
        <f ca="1">Q31</f>
        <v>1.5</v>
      </c>
      <c r="O36" s="137"/>
      <c r="P36" s="137"/>
      <c r="Q36" s="137"/>
      <c r="R36" s="137"/>
      <c r="S36" s="137"/>
      <c r="T36" s="137"/>
      <c r="U36" s="137"/>
      <c r="V36" s="136"/>
      <c r="W36" s="136"/>
      <c r="X36" s="136"/>
    </row>
    <row r="37" spans="1:24" ht="15" customHeight="1" x14ac:dyDescent="0.3">
      <c r="A37" s="48"/>
      <c r="B37" s="51" t="s">
        <v>50</v>
      </c>
      <c r="C37" s="67">
        <f>'Site Ground Motions'!C13</f>
        <v>0.41</v>
      </c>
      <c r="J37" s="47"/>
      <c r="K37" s="136"/>
      <c r="L37" s="137" t="s">
        <v>1</v>
      </c>
      <c r="M37" s="137">
        <f ca="1">S18</f>
        <v>1.1452</v>
      </c>
      <c r="N37" s="137">
        <f ca="1">S31</f>
        <v>1.8900000000000001</v>
      </c>
      <c r="O37" s="137"/>
      <c r="P37" s="137"/>
      <c r="Q37" s="137"/>
      <c r="R37" s="137"/>
      <c r="S37" s="137"/>
      <c r="T37" s="137"/>
      <c r="U37" s="137"/>
      <c r="V37" s="136"/>
      <c r="W37" s="136"/>
      <c r="X37" s="136"/>
    </row>
    <row r="38" spans="1:24" ht="15" customHeight="1" x14ac:dyDescent="0.2">
      <c r="A38" s="48"/>
      <c r="J38" s="47"/>
      <c r="K38" s="136"/>
      <c r="L38" s="137" t="s">
        <v>51</v>
      </c>
      <c r="M38" s="137" t="e">
        <f ca="1">U18</f>
        <v>#DIV/0!</v>
      </c>
      <c r="N38" s="137" t="e">
        <f ca="1">U31</f>
        <v>#DIV/0!</v>
      </c>
      <c r="O38" s="137"/>
      <c r="P38" s="137"/>
      <c r="Q38" s="137"/>
      <c r="R38" s="137"/>
      <c r="S38" s="137"/>
      <c r="T38" s="137"/>
      <c r="U38" s="137"/>
      <c r="V38" s="136"/>
      <c r="W38" s="136"/>
      <c r="X38" s="136"/>
    </row>
    <row r="39" spans="1:24" ht="15" customHeight="1" x14ac:dyDescent="0.2">
      <c r="A39" s="48"/>
      <c r="B39" s="52" t="s">
        <v>49</v>
      </c>
      <c r="C39" s="64">
        <f ca="1">IFERROR(VLOOKUP(C34,L34:N38,2, FALSE),"Correct the Site Class or Do Site Specific for Site Class D/E/F")</f>
        <v>1.1452</v>
      </c>
      <c r="J39" s="47"/>
      <c r="K39" s="136"/>
      <c r="L39" s="137"/>
      <c r="M39" s="137"/>
      <c r="N39" s="137"/>
      <c r="O39" s="137"/>
      <c r="P39" s="137"/>
      <c r="Q39" s="137"/>
      <c r="R39" s="137"/>
      <c r="S39" s="137"/>
      <c r="T39" s="137"/>
      <c r="U39" s="137"/>
      <c r="V39" s="136"/>
      <c r="W39" s="136"/>
      <c r="X39" s="136"/>
    </row>
    <row r="40" spans="1:24" ht="15" customHeight="1" x14ac:dyDescent="0.2">
      <c r="A40" s="48"/>
      <c r="B40" s="52" t="s">
        <v>48</v>
      </c>
      <c r="C40" s="64">
        <f ca="1">IFERROR(VLOOKUP(C34,L34:N38,3, FALSE), "Correct the Site Class or Do Site Specific for Site Class D/E/F")</f>
        <v>1.8900000000000001</v>
      </c>
      <c r="J40" s="47"/>
      <c r="K40" s="136"/>
      <c r="L40" s="137"/>
      <c r="M40" s="137"/>
      <c r="N40" s="137"/>
      <c r="O40" s="137"/>
      <c r="P40" s="137"/>
      <c r="Q40" s="137"/>
      <c r="R40" s="137"/>
      <c r="S40" s="137"/>
      <c r="T40" s="137"/>
      <c r="U40" s="137"/>
      <c r="V40" s="136"/>
      <c r="W40" s="136"/>
      <c r="X40" s="136"/>
    </row>
    <row r="41" spans="1:24" ht="15" customHeight="1" x14ac:dyDescent="0.2">
      <c r="A41" s="48"/>
      <c r="D41" s="53"/>
      <c r="J41" s="47"/>
      <c r="K41" s="136"/>
      <c r="L41" s="137"/>
      <c r="M41" s="137"/>
      <c r="N41" s="137"/>
      <c r="O41" s="137"/>
      <c r="P41" s="137"/>
      <c r="Q41" s="137"/>
      <c r="R41" s="137"/>
      <c r="S41" s="137"/>
      <c r="T41" s="137"/>
      <c r="U41" s="137"/>
      <c r="V41" s="136"/>
      <c r="W41" s="136"/>
      <c r="X41" s="136"/>
    </row>
    <row r="42" spans="1:24" ht="15" customHeight="1" x14ac:dyDescent="0.2">
      <c r="A42" s="54"/>
      <c r="B42" s="55"/>
      <c r="C42" s="55"/>
      <c r="D42" s="56"/>
      <c r="E42" s="55"/>
      <c r="F42" s="55"/>
      <c r="G42" s="55"/>
      <c r="H42" s="55"/>
      <c r="I42" s="55"/>
      <c r="J42" s="57"/>
      <c r="K42" s="136"/>
      <c r="L42" s="137"/>
      <c r="M42" s="137"/>
      <c r="N42" s="137"/>
      <c r="O42" s="137"/>
      <c r="P42" s="137"/>
      <c r="Q42" s="137"/>
      <c r="R42" s="137"/>
      <c r="S42" s="137"/>
      <c r="T42" s="137"/>
      <c r="U42" s="137"/>
      <c r="V42" s="136"/>
      <c r="W42" s="136"/>
      <c r="X42" s="136"/>
    </row>
    <row r="43" spans="1:24" ht="15" customHeight="1" x14ac:dyDescent="0.2">
      <c r="A43" s="134"/>
      <c r="B43" s="134"/>
      <c r="C43" s="134"/>
      <c r="D43" s="142"/>
      <c r="E43" s="134"/>
      <c r="F43" s="134"/>
      <c r="G43" s="134"/>
      <c r="H43" s="134"/>
      <c r="I43" s="134"/>
      <c r="J43" s="134"/>
      <c r="K43" s="136"/>
      <c r="L43" s="137"/>
      <c r="M43" s="137"/>
      <c r="N43" s="137"/>
      <c r="O43" s="137"/>
      <c r="P43" s="137"/>
      <c r="Q43" s="137"/>
      <c r="R43" s="137"/>
      <c r="S43" s="137"/>
      <c r="T43" s="137"/>
      <c r="U43" s="137"/>
      <c r="V43" s="136"/>
      <c r="W43" s="136"/>
      <c r="X43" s="136"/>
    </row>
    <row r="44" spans="1:24" ht="15" customHeight="1" x14ac:dyDescent="0.2">
      <c r="A44" s="134"/>
      <c r="B44" s="134"/>
      <c r="C44" s="134"/>
      <c r="D44" s="143"/>
      <c r="E44" s="135"/>
      <c r="F44" s="134"/>
      <c r="G44" s="134"/>
      <c r="H44" s="134"/>
      <c r="I44" s="134"/>
      <c r="J44" s="134"/>
      <c r="K44" s="136"/>
      <c r="L44" s="137"/>
      <c r="M44" s="137"/>
      <c r="N44" s="137"/>
      <c r="O44" s="137"/>
      <c r="P44" s="137"/>
      <c r="Q44" s="137"/>
      <c r="R44" s="137"/>
      <c r="S44" s="137"/>
      <c r="T44" s="137"/>
      <c r="U44" s="137"/>
      <c r="V44" s="136"/>
      <c r="W44" s="136"/>
      <c r="X44" s="136"/>
    </row>
    <row r="45" spans="1:24" ht="15" customHeight="1" x14ac:dyDescent="0.2">
      <c r="A45" s="134"/>
      <c r="B45" s="134"/>
      <c r="C45" s="134"/>
      <c r="D45" s="134"/>
      <c r="E45" s="134"/>
      <c r="F45" s="134"/>
      <c r="G45" s="134"/>
      <c r="H45" s="134"/>
      <c r="I45" s="134"/>
      <c r="J45" s="134"/>
      <c r="K45" s="136"/>
      <c r="L45" s="137"/>
      <c r="M45" s="137"/>
      <c r="N45" s="137"/>
      <c r="O45" s="137"/>
      <c r="P45" s="137"/>
      <c r="Q45" s="137"/>
      <c r="R45" s="137"/>
      <c r="S45" s="137"/>
      <c r="T45" s="137"/>
      <c r="U45" s="137"/>
      <c r="V45" s="136"/>
      <c r="W45" s="136"/>
      <c r="X45" s="136"/>
    </row>
    <row r="46" spans="1:24" ht="15" customHeight="1" x14ac:dyDescent="0.2">
      <c r="A46" s="134"/>
      <c r="B46" s="134"/>
      <c r="C46" s="134"/>
      <c r="D46" s="134"/>
      <c r="E46" s="134"/>
      <c r="F46" s="134"/>
      <c r="G46" s="134"/>
      <c r="H46" s="134"/>
      <c r="I46" s="134"/>
      <c r="J46" s="134"/>
      <c r="K46" s="136"/>
      <c r="L46" s="137"/>
      <c r="M46" s="137"/>
      <c r="N46" s="137"/>
      <c r="O46" s="137"/>
      <c r="P46" s="137"/>
      <c r="Q46" s="137"/>
      <c r="R46" s="137"/>
      <c r="S46" s="137"/>
      <c r="T46" s="137"/>
      <c r="U46" s="137"/>
      <c r="V46" s="136"/>
      <c r="W46" s="136"/>
      <c r="X46" s="136"/>
    </row>
    <row r="47" spans="1:24" ht="15" customHeight="1" x14ac:dyDescent="0.2">
      <c r="A47" s="134"/>
      <c r="B47" s="134"/>
      <c r="C47" s="134"/>
      <c r="D47" s="134"/>
      <c r="E47" s="134"/>
      <c r="F47" s="134"/>
      <c r="G47" s="134"/>
      <c r="H47" s="134"/>
      <c r="I47" s="134"/>
      <c r="J47" s="134"/>
      <c r="K47" s="136"/>
      <c r="L47" s="137"/>
      <c r="M47" s="137"/>
      <c r="N47" s="137"/>
      <c r="O47" s="137"/>
      <c r="P47" s="137"/>
      <c r="Q47" s="137"/>
      <c r="R47" s="137"/>
      <c r="S47" s="137"/>
      <c r="T47" s="137"/>
      <c r="U47" s="137"/>
      <c r="V47" s="136"/>
      <c r="W47" s="136"/>
      <c r="X47" s="136"/>
    </row>
    <row r="48" spans="1:24" ht="15" customHeight="1" x14ac:dyDescent="0.2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6"/>
      <c r="L48" s="137"/>
      <c r="M48" s="137"/>
      <c r="N48" s="137"/>
      <c r="O48" s="137"/>
      <c r="P48" s="137"/>
      <c r="Q48" s="137"/>
      <c r="R48" s="137"/>
      <c r="S48" s="137"/>
      <c r="T48" s="137"/>
      <c r="U48" s="137"/>
      <c r="V48" s="136"/>
      <c r="W48" s="136"/>
      <c r="X48" s="136"/>
    </row>
    <row r="49" spans="1:24" ht="15" customHeight="1" x14ac:dyDescent="0.2">
      <c r="A49" s="134"/>
      <c r="B49" s="134"/>
      <c r="C49" s="134"/>
      <c r="D49" s="134"/>
      <c r="E49" s="134"/>
      <c r="F49" s="134"/>
      <c r="G49" s="134"/>
      <c r="H49" s="134"/>
      <c r="I49" s="134"/>
      <c r="J49" s="134"/>
      <c r="K49" s="136"/>
      <c r="L49" s="137"/>
      <c r="M49" s="137"/>
      <c r="N49" s="137"/>
      <c r="O49" s="137"/>
      <c r="P49" s="137"/>
      <c r="Q49" s="137"/>
      <c r="R49" s="137"/>
      <c r="S49" s="137"/>
      <c r="T49" s="137"/>
      <c r="U49" s="137"/>
      <c r="V49" s="136"/>
      <c r="W49" s="136"/>
      <c r="X49" s="136"/>
    </row>
    <row r="50" spans="1:24" ht="15" customHeight="1" x14ac:dyDescent="0.2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6"/>
      <c r="L50" s="137"/>
      <c r="M50" s="137"/>
      <c r="N50" s="137"/>
      <c r="O50" s="137"/>
      <c r="P50" s="137"/>
      <c r="Q50" s="137"/>
      <c r="R50" s="137"/>
      <c r="S50" s="137"/>
      <c r="T50" s="137"/>
      <c r="U50" s="137"/>
      <c r="V50" s="136"/>
      <c r="W50" s="136"/>
      <c r="X50" s="136"/>
    </row>
    <row r="51" spans="1:24" x14ac:dyDescent="0.2">
      <c r="A51" s="134"/>
      <c r="B51" s="134"/>
      <c r="C51" s="134"/>
      <c r="D51" s="134"/>
      <c r="E51" s="134"/>
      <c r="F51" s="134"/>
      <c r="G51" s="134"/>
      <c r="H51" s="134"/>
      <c r="I51" s="134"/>
      <c r="J51" s="134"/>
      <c r="K51" s="136"/>
      <c r="L51" s="137"/>
      <c r="M51" s="137"/>
      <c r="N51" s="137"/>
      <c r="O51" s="137"/>
      <c r="P51" s="137"/>
      <c r="Q51" s="137"/>
      <c r="R51" s="137"/>
      <c r="S51" s="137"/>
      <c r="T51" s="137"/>
      <c r="U51" s="137"/>
      <c r="V51" s="136"/>
      <c r="W51" s="136"/>
      <c r="X51" s="136"/>
    </row>
    <row r="52" spans="1:24" x14ac:dyDescent="0.2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6"/>
      <c r="L52" s="137"/>
      <c r="M52" s="137"/>
      <c r="N52" s="137"/>
      <c r="O52" s="137"/>
      <c r="P52" s="137"/>
      <c r="Q52" s="137"/>
      <c r="R52" s="137"/>
      <c r="S52" s="137"/>
      <c r="T52" s="137"/>
      <c r="U52" s="137"/>
      <c r="V52" s="136"/>
      <c r="W52" s="136"/>
      <c r="X52" s="136"/>
    </row>
    <row r="53" spans="1:24" x14ac:dyDescent="0.2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6"/>
      <c r="L53" s="137"/>
      <c r="M53" s="137"/>
      <c r="N53" s="137"/>
      <c r="O53" s="137"/>
      <c r="P53" s="137"/>
      <c r="Q53" s="137"/>
      <c r="R53" s="137"/>
      <c r="S53" s="137"/>
      <c r="T53" s="137"/>
      <c r="U53" s="137"/>
      <c r="V53" s="136"/>
      <c r="W53" s="136"/>
      <c r="X53" s="136"/>
    </row>
    <row r="54" spans="1:24" x14ac:dyDescent="0.2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6"/>
      <c r="L54" s="137"/>
      <c r="M54" s="137"/>
      <c r="N54" s="137"/>
      <c r="O54" s="137"/>
      <c r="P54" s="137"/>
      <c r="Q54" s="137"/>
      <c r="R54" s="137"/>
      <c r="S54" s="137"/>
      <c r="T54" s="137"/>
      <c r="U54" s="137"/>
      <c r="V54" s="136"/>
      <c r="W54" s="136"/>
      <c r="X54" s="136"/>
    </row>
    <row r="55" spans="1:24" x14ac:dyDescent="0.2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6"/>
      <c r="L55" s="137"/>
      <c r="M55" s="137"/>
      <c r="N55" s="137"/>
      <c r="O55" s="137"/>
      <c r="P55" s="137"/>
      <c r="Q55" s="137"/>
      <c r="R55" s="137"/>
      <c r="S55" s="137"/>
      <c r="T55" s="137"/>
      <c r="U55" s="137"/>
      <c r="V55" s="136"/>
      <c r="W55" s="136"/>
      <c r="X55" s="136"/>
    </row>
    <row r="56" spans="1:24" x14ac:dyDescent="0.2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6"/>
      <c r="L56" s="137"/>
      <c r="M56" s="137"/>
      <c r="N56" s="137"/>
      <c r="O56" s="137"/>
      <c r="P56" s="137"/>
      <c r="Q56" s="137"/>
      <c r="R56" s="137"/>
      <c r="S56" s="137"/>
      <c r="T56" s="137"/>
      <c r="U56" s="137"/>
      <c r="V56" s="136"/>
      <c r="W56" s="136"/>
      <c r="X56" s="136"/>
    </row>
    <row r="57" spans="1:24" x14ac:dyDescent="0.2">
      <c r="A57" s="134"/>
      <c r="B57" s="134"/>
      <c r="C57" s="134"/>
      <c r="D57" s="134"/>
      <c r="E57" s="134"/>
      <c r="F57" s="134"/>
      <c r="G57" s="134"/>
      <c r="H57" s="134"/>
      <c r="I57" s="134"/>
      <c r="J57" s="134"/>
      <c r="K57" s="136"/>
      <c r="L57" s="137"/>
      <c r="M57" s="137"/>
      <c r="N57" s="137"/>
      <c r="O57" s="137"/>
      <c r="P57" s="137"/>
      <c r="Q57" s="137"/>
      <c r="R57" s="137"/>
      <c r="S57" s="137"/>
      <c r="T57" s="137"/>
      <c r="U57" s="137"/>
      <c r="V57" s="136"/>
      <c r="W57" s="136"/>
      <c r="X57" s="136"/>
    </row>
    <row r="58" spans="1:24" s="134" customFormat="1" x14ac:dyDescent="0.2">
      <c r="L58" s="135"/>
      <c r="M58" s="135"/>
      <c r="N58" s="135"/>
      <c r="O58" s="135"/>
      <c r="P58" s="135"/>
      <c r="Q58" s="135"/>
      <c r="R58" s="135"/>
      <c r="S58" s="135"/>
      <c r="T58" s="135"/>
      <c r="U58" s="135"/>
    </row>
    <row r="59" spans="1:24" s="134" customFormat="1" x14ac:dyDescent="0.2">
      <c r="L59" s="135"/>
      <c r="M59" s="135"/>
      <c r="N59" s="135"/>
      <c r="O59" s="135"/>
      <c r="P59" s="135"/>
      <c r="Q59" s="135"/>
      <c r="R59" s="135"/>
      <c r="S59" s="135"/>
      <c r="T59" s="135"/>
      <c r="U59" s="135"/>
    </row>
    <row r="60" spans="1:24" s="134" customFormat="1" x14ac:dyDescent="0.2">
      <c r="L60" s="135"/>
      <c r="M60" s="135"/>
      <c r="N60" s="135"/>
      <c r="O60" s="135"/>
      <c r="P60" s="135"/>
      <c r="Q60" s="135"/>
      <c r="R60" s="135"/>
      <c r="S60" s="135"/>
      <c r="T60" s="135"/>
      <c r="U60" s="135"/>
    </row>
    <row r="61" spans="1:24" s="134" customFormat="1" x14ac:dyDescent="0.2">
      <c r="L61" s="135"/>
      <c r="M61" s="135"/>
      <c r="N61" s="135"/>
      <c r="O61" s="135"/>
      <c r="P61" s="135"/>
      <c r="Q61" s="135"/>
      <c r="R61" s="135"/>
      <c r="S61" s="135"/>
      <c r="T61" s="135"/>
      <c r="U61" s="135"/>
    </row>
    <row r="62" spans="1:24" s="134" customFormat="1" x14ac:dyDescent="0.2">
      <c r="L62" s="135"/>
      <c r="M62" s="135"/>
      <c r="N62" s="135"/>
      <c r="O62" s="135"/>
      <c r="P62" s="135"/>
      <c r="Q62" s="135"/>
      <c r="R62" s="135"/>
      <c r="S62" s="135"/>
      <c r="T62" s="135"/>
      <c r="U62" s="135"/>
    </row>
    <row r="63" spans="1:24" s="134" customFormat="1" x14ac:dyDescent="0.2">
      <c r="L63" s="135"/>
      <c r="M63" s="135"/>
      <c r="N63" s="135"/>
      <c r="O63" s="135"/>
      <c r="P63" s="135"/>
      <c r="Q63" s="135"/>
      <c r="R63" s="135"/>
      <c r="S63" s="135"/>
      <c r="T63" s="135"/>
      <c r="U63" s="135"/>
    </row>
    <row r="64" spans="1:24" s="134" customFormat="1" x14ac:dyDescent="0.2">
      <c r="L64" s="135"/>
      <c r="M64" s="135"/>
      <c r="N64" s="135"/>
      <c r="O64" s="135"/>
      <c r="P64" s="135"/>
      <c r="Q64" s="135"/>
      <c r="R64" s="135"/>
      <c r="S64" s="135"/>
      <c r="T64" s="135"/>
      <c r="U64" s="135"/>
    </row>
    <row r="65" spans="12:21" s="134" customFormat="1" x14ac:dyDescent="0.2">
      <c r="L65" s="135"/>
      <c r="M65" s="135"/>
      <c r="N65" s="135"/>
      <c r="O65" s="135"/>
      <c r="P65" s="135"/>
      <c r="Q65" s="135"/>
      <c r="R65" s="135"/>
      <c r="S65" s="135"/>
      <c r="T65" s="135"/>
      <c r="U65" s="135"/>
    </row>
    <row r="66" spans="12:21" s="134" customFormat="1" x14ac:dyDescent="0.2">
      <c r="L66" s="135"/>
      <c r="M66" s="135"/>
      <c r="N66" s="135"/>
      <c r="O66" s="135"/>
      <c r="P66" s="135"/>
      <c r="Q66" s="135"/>
      <c r="R66" s="135"/>
      <c r="S66" s="135"/>
      <c r="T66" s="135"/>
      <c r="U66" s="135"/>
    </row>
    <row r="67" spans="12:21" s="134" customFormat="1" x14ac:dyDescent="0.2">
      <c r="L67" s="135"/>
      <c r="M67" s="135"/>
      <c r="N67" s="135"/>
      <c r="O67" s="135"/>
      <c r="P67" s="135"/>
      <c r="Q67" s="135"/>
      <c r="R67" s="135"/>
      <c r="S67" s="135"/>
      <c r="T67" s="135"/>
      <c r="U67" s="135"/>
    </row>
    <row r="68" spans="12:21" s="134" customFormat="1" x14ac:dyDescent="0.2">
      <c r="L68" s="135"/>
      <c r="M68" s="135"/>
      <c r="N68" s="135"/>
      <c r="O68" s="135"/>
      <c r="P68" s="135"/>
      <c r="Q68" s="135"/>
      <c r="R68" s="135"/>
      <c r="S68" s="135"/>
      <c r="T68" s="135"/>
      <c r="U68" s="135"/>
    </row>
    <row r="69" spans="12:21" s="134" customFormat="1" x14ac:dyDescent="0.2">
      <c r="L69" s="135"/>
      <c r="M69" s="135"/>
      <c r="N69" s="135"/>
      <c r="O69" s="135"/>
      <c r="P69" s="135"/>
      <c r="Q69" s="135"/>
      <c r="R69" s="135"/>
      <c r="S69" s="135"/>
      <c r="T69" s="135"/>
      <c r="U69" s="135"/>
    </row>
    <row r="70" spans="12:21" s="134" customFormat="1" x14ac:dyDescent="0.2">
      <c r="L70" s="135"/>
      <c r="M70" s="135"/>
      <c r="N70" s="135"/>
      <c r="O70" s="135"/>
      <c r="P70" s="135"/>
      <c r="Q70" s="135"/>
      <c r="R70" s="135"/>
      <c r="S70" s="135"/>
      <c r="T70" s="135"/>
      <c r="U70" s="135"/>
    </row>
    <row r="71" spans="12:21" s="134" customFormat="1" x14ac:dyDescent="0.2">
      <c r="L71" s="135"/>
      <c r="M71" s="135"/>
      <c r="N71" s="135"/>
      <c r="O71" s="135"/>
      <c r="P71" s="135"/>
      <c r="Q71" s="135"/>
      <c r="R71" s="135"/>
      <c r="S71" s="135"/>
      <c r="T71" s="135"/>
      <c r="U71" s="135"/>
    </row>
    <row r="72" spans="12:21" s="134" customFormat="1" x14ac:dyDescent="0.2">
      <c r="L72" s="135"/>
      <c r="M72" s="135"/>
      <c r="N72" s="135"/>
      <c r="O72" s="135"/>
      <c r="P72" s="135"/>
      <c r="Q72" s="135"/>
      <c r="R72" s="135"/>
      <c r="S72" s="135"/>
      <c r="T72" s="135"/>
      <c r="U72" s="135"/>
    </row>
    <row r="73" spans="12:21" s="134" customFormat="1" x14ac:dyDescent="0.2">
      <c r="L73" s="135"/>
      <c r="M73" s="135"/>
      <c r="N73" s="135"/>
      <c r="O73" s="135"/>
      <c r="P73" s="135"/>
      <c r="Q73" s="135"/>
      <c r="R73" s="135"/>
      <c r="S73" s="135"/>
      <c r="T73" s="135"/>
      <c r="U73" s="135"/>
    </row>
    <row r="74" spans="12:21" s="134" customFormat="1" x14ac:dyDescent="0.2">
      <c r="L74" s="135"/>
      <c r="M74" s="135"/>
      <c r="N74" s="135"/>
      <c r="O74" s="135"/>
      <c r="P74" s="135"/>
      <c r="Q74" s="135"/>
      <c r="R74" s="135"/>
      <c r="S74" s="135"/>
      <c r="T74" s="135"/>
      <c r="U74" s="135"/>
    </row>
    <row r="75" spans="12:21" s="134" customFormat="1" x14ac:dyDescent="0.2">
      <c r="L75" s="135"/>
      <c r="M75" s="135"/>
      <c r="N75" s="135"/>
      <c r="O75" s="135"/>
      <c r="P75" s="135"/>
      <c r="Q75" s="135"/>
      <c r="R75" s="135"/>
      <c r="S75" s="135"/>
      <c r="T75" s="135"/>
      <c r="U75" s="135"/>
    </row>
    <row r="76" spans="12:21" s="134" customFormat="1" x14ac:dyDescent="0.2">
      <c r="L76" s="135"/>
      <c r="M76" s="135"/>
      <c r="N76" s="135"/>
      <c r="O76" s="135"/>
      <c r="P76" s="135"/>
      <c r="Q76" s="135"/>
      <c r="R76" s="135"/>
      <c r="S76" s="135"/>
      <c r="T76" s="135"/>
      <c r="U76" s="135"/>
    </row>
    <row r="77" spans="12:21" s="134" customFormat="1" x14ac:dyDescent="0.2">
      <c r="L77" s="135"/>
      <c r="M77" s="135"/>
      <c r="N77" s="135"/>
      <c r="O77" s="135"/>
      <c r="P77" s="135"/>
      <c r="Q77" s="135"/>
      <c r="R77" s="135"/>
      <c r="S77" s="135"/>
      <c r="T77" s="135"/>
      <c r="U77" s="135"/>
    </row>
    <row r="78" spans="12:21" s="134" customFormat="1" x14ac:dyDescent="0.2">
      <c r="L78" s="135"/>
      <c r="M78" s="135"/>
      <c r="N78" s="135"/>
      <c r="O78" s="135"/>
      <c r="P78" s="135"/>
      <c r="Q78" s="135"/>
      <c r="R78" s="135"/>
      <c r="S78" s="135"/>
      <c r="T78" s="135"/>
      <c r="U78" s="135"/>
    </row>
    <row r="79" spans="12:21" s="134" customFormat="1" x14ac:dyDescent="0.2">
      <c r="L79" s="135"/>
      <c r="M79" s="135"/>
      <c r="N79" s="135"/>
      <c r="O79" s="135"/>
      <c r="P79" s="135"/>
      <c r="Q79" s="135"/>
      <c r="R79" s="135"/>
      <c r="S79" s="135"/>
      <c r="T79" s="135"/>
      <c r="U79" s="135"/>
    </row>
    <row r="80" spans="12:21" s="134" customFormat="1" x14ac:dyDescent="0.2">
      <c r="L80" s="135"/>
      <c r="M80" s="135"/>
      <c r="N80" s="135"/>
      <c r="O80" s="135"/>
      <c r="P80" s="135"/>
      <c r="Q80" s="135"/>
      <c r="R80" s="135"/>
      <c r="S80" s="135"/>
      <c r="T80" s="135"/>
      <c r="U80" s="135"/>
    </row>
    <row r="81" spans="12:21" s="134" customFormat="1" x14ac:dyDescent="0.2">
      <c r="L81" s="135"/>
      <c r="M81" s="135"/>
      <c r="N81" s="135"/>
      <c r="O81" s="135"/>
      <c r="P81" s="135"/>
      <c r="Q81" s="135"/>
      <c r="R81" s="135"/>
      <c r="S81" s="135"/>
      <c r="T81" s="135"/>
      <c r="U81" s="135"/>
    </row>
    <row r="82" spans="12:21" s="134" customFormat="1" x14ac:dyDescent="0.2">
      <c r="L82" s="135"/>
      <c r="M82" s="135"/>
      <c r="N82" s="135"/>
      <c r="O82" s="135"/>
      <c r="P82" s="135"/>
      <c r="Q82" s="135"/>
      <c r="R82" s="135"/>
      <c r="S82" s="135"/>
      <c r="T82" s="135"/>
      <c r="U82" s="135"/>
    </row>
    <row r="83" spans="12:21" s="134" customFormat="1" x14ac:dyDescent="0.2">
      <c r="L83" s="135"/>
      <c r="M83" s="135"/>
      <c r="N83" s="135"/>
      <c r="O83" s="135"/>
      <c r="P83" s="135"/>
      <c r="Q83" s="135"/>
      <c r="R83" s="135"/>
      <c r="S83" s="135"/>
      <c r="T83" s="135"/>
      <c r="U83" s="135"/>
    </row>
    <row r="84" spans="12:21" s="134" customFormat="1" x14ac:dyDescent="0.2">
      <c r="L84" s="135"/>
      <c r="M84" s="135"/>
      <c r="N84" s="135"/>
      <c r="O84" s="135"/>
      <c r="P84" s="135"/>
      <c r="Q84" s="135"/>
      <c r="R84" s="135"/>
      <c r="S84" s="135"/>
      <c r="T84" s="135"/>
      <c r="U84" s="135"/>
    </row>
    <row r="85" spans="12:21" s="134" customFormat="1" x14ac:dyDescent="0.2">
      <c r="L85" s="135"/>
      <c r="M85" s="135"/>
      <c r="N85" s="135"/>
      <c r="O85" s="135"/>
      <c r="P85" s="135"/>
      <c r="Q85" s="135"/>
      <c r="R85" s="135"/>
      <c r="S85" s="135"/>
      <c r="T85" s="135"/>
      <c r="U85" s="135"/>
    </row>
    <row r="86" spans="12:21" s="134" customFormat="1" x14ac:dyDescent="0.2">
      <c r="L86" s="135"/>
      <c r="M86" s="135"/>
      <c r="N86" s="135"/>
      <c r="O86" s="135"/>
      <c r="P86" s="135"/>
      <c r="Q86" s="135"/>
      <c r="R86" s="135"/>
      <c r="S86" s="135"/>
      <c r="T86" s="135"/>
      <c r="U86" s="135"/>
    </row>
    <row r="87" spans="12:21" s="134" customFormat="1" x14ac:dyDescent="0.2">
      <c r="L87" s="135"/>
      <c r="M87" s="135"/>
      <c r="N87" s="135"/>
      <c r="O87" s="135"/>
      <c r="P87" s="135"/>
      <c r="Q87" s="135"/>
      <c r="R87" s="135"/>
      <c r="S87" s="135"/>
      <c r="T87" s="135"/>
      <c r="U87" s="135"/>
    </row>
    <row r="88" spans="12:21" s="134" customFormat="1" x14ac:dyDescent="0.2">
      <c r="L88" s="135"/>
      <c r="M88" s="135"/>
      <c r="N88" s="135"/>
      <c r="O88" s="135"/>
      <c r="P88" s="135"/>
      <c r="Q88" s="135"/>
      <c r="R88" s="135"/>
      <c r="S88" s="135"/>
      <c r="T88" s="135"/>
      <c r="U88" s="135"/>
    </row>
    <row r="89" spans="12:21" s="134" customFormat="1" x14ac:dyDescent="0.2">
      <c r="L89" s="135"/>
      <c r="M89" s="135"/>
      <c r="N89" s="135"/>
      <c r="O89" s="135"/>
      <c r="P89" s="135"/>
      <c r="Q89" s="135"/>
      <c r="R89" s="135"/>
      <c r="S89" s="135"/>
      <c r="T89" s="135"/>
      <c r="U89" s="135"/>
    </row>
    <row r="90" spans="12:21" s="134" customFormat="1" x14ac:dyDescent="0.2">
      <c r="L90" s="135"/>
      <c r="M90" s="135"/>
      <c r="N90" s="135"/>
      <c r="O90" s="135"/>
      <c r="P90" s="135"/>
      <c r="Q90" s="135"/>
      <c r="R90" s="135"/>
      <c r="S90" s="135"/>
      <c r="T90" s="135"/>
      <c r="U90" s="135"/>
    </row>
    <row r="91" spans="12:21" s="134" customFormat="1" x14ac:dyDescent="0.2">
      <c r="L91" s="135"/>
      <c r="M91" s="135"/>
      <c r="N91" s="135"/>
      <c r="O91" s="135"/>
      <c r="P91" s="135"/>
      <c r="Q91" s="135"/>
      <c r="R91" s="135"/>
      <c r="S91" s="135"/>
      <c r="T91" s="135"/>
      <c r="U91" s="135"/>
    </row>
    <row r="92" spans="12:21" s="134" customFormat="1" x14ac:dyDescent="0.2">
      <c r="L92" s="135"/>
      <c r="M92" s="135"/>
      <c r="N92" s="135"/>
      <c r="O92" s="135"/>
      <c r="P92" s="135"/>
      <c r="Q92" s="135"/>
      <c r="R92" s="135"/>
      <c r="S92" s="135"/>
      <c r="T92" s="135"/>
      <c r="U92" s="135"/>
    </row>
    <row r="93" spans="12:21" s="134" customFormat="1" x14ac:dyDescent="0.2">
      <c r="L93" s="135"/>
      <c r="M93" s="135"/>
      <c r="N93" s="135"/>
      <c r="O93" s="135"/>
      <c r="P93" s="135"/>
      <c r="Q93" s="135"/>
      <c r="R93" s="135"/>
      <c r="S93" s="135"/>
      <c r="T93" s="135"/>
      <c r="U93" s="135"/>
    </row>
    <row r="94" spans="12:21" s="134" customFormat="1" x14ac:dyDescent="0.2">
      <c r="L94" s="135"/>
      <c r="M94" s="135"/>
      <c r="N94" s="135"/>
      <c r="O94" s="135"/>
      <c r="P94" s="135"/>
      <c r="Q94" s="135"/>
      <c r="R94" s="135"/>
      <c r="S94" s="135"/>
      <c r="T94" s="135"/>
      <c r="U94" s="135"/>
    </row>
    <row r="95" spans="12:21" s="134" customFormat="1" x14ac:dyDescent="0.2">
      <c r="L95" s="135"/>
      <c r="M95" s="135"/>
      <c r="N95" s="135"/>
      <c r="O95" s="135"/>
      <c r="P95" s="135"/>
      <c r="Q95" s="135"/>
      <c r="R95" s="135"/>
      <c r="S95" s="135"/>
      <c r="T95" s="135"/>
      <c r="U95" s="135"/>
    </row>
    <row r="96" spans="12:21" s="134" customFormat="1" x14ac:dyDescent="0.2">
      <c r="L96" s="135"/>
      <c r="M96" s="135"/>
      <c r="N96" s="135"/>
      <c r="O96" s="135"/>
      <c r="P96" s="135"/>
      <c r="Q96" s="135"/>
      <c r="R96" s="135"/>
      <c r="S96" s="135"/>
      <c r="T96" s="135"/>
      <c r="U96" s="135"/>
    </row>
    <row r="97" spans="12:21" s="134" customFormat="1" x14ac:dyDescent="0.2">
      <c r="L97" s="135"/>
      <c r="M97" s="135"/>
      <c r="N97" s="135"/>
      <c r="O97" s="135"/>
      <c r="P97" s="135"/>
      <c r="Q97" s="135"/>
      <c r="R97" s="135"/>
      <c r="S97" s="135"/>
      <c r="T97" s="135"/>
      <c r="U97" s="135"/>
    </row>
    <row r="98" spans="12:21" s="134" customFormat="1" x14ac:dyDescent="0.2">
      <c r="L98" s="135"/>
      <c r="M98" s="135"/>
      <c r="N98" s="135"/>
      <c r="O98" s="135"/>
      <c r="P98" s="135"/>
      <c r="Q98" s="135"/>
      <c r="R98" s="135"/>
      <c r="S98" s="135"/>
      <c r="T98" s="135"/>
      <c r="U98" s="135"/>
    </row>
    <row r="99" spans="12:21" s="134" customFormat="1" x14ac:dyDescent="0.2">
      <c r="L99" s="135"/>
      <c r="M99" s="135"/>
      <c r="N99" s="135"/>
      <c r="O99" s="135"/>
      <c r="P99" s="135"/>
      <c r="Q99" s="135"/>
      <c r="R99" s="135"/>
      <c r="S99" s="135"/>
      <c r="T99" s="135"/>
      <c r="U99" s="135"/>
    </row>
    <row r="100" spans="12:21" s="134" customFormat="1" x14ac:dyDescent="0.2"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</row>
    <row r="101" spans="12:21" s="134" customFormat="1" x14ac:dyDescent="0.2"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</row>
    <row r="102" spans="12:21" s="134" customFormat="1" x14ac:dyDescent="0.2">
      <c r="L102" s="135"/>
      <c r="M102" s="135"/>
      <c r="N102" s="135"/>
      <c r="O102" s="135"/>
      <c r="P102" s="135"/>
      <c r="Q102" s="135"/>
      <c r="R102" s="135"/>
      <c r="S102" s="135"/>
      <c r="T102" s="135"/>
      <c r="U102" s="135"/>
    </row>
    <row r="103" spans="12:21" s="134" customFormat="1" x14ac:dyDescent="0.2">
      <c r="L103" s="135"/>
      <c r="M103" s="135"/>
      <c r="N103" s="135"/>
      <c r="O103" s="135"/>
      <c r="P103" s="135"/>
      <c r="Q103" s="135"/>
      <c r="R103" s="135"/>
      <c r="S103" s="135"/>
      <c r="T103" s="135"/>
      <c r="U103" s="135"/>
    </row>
    <row r="104" spans="12:21" s="134" customFormat="1" x14ac:dyDescent="0.2">
      <c r="L104" s="135"/>
      <c r="M104" s="135"/>
      <c r="N104" s="135"/>
      <c r="O104" s="135"/>
      <c r="P104" s="135"/>
      <c r="Q104" s="135"/>
      <c r="R104" s="135"/>
      <c r="S104" s="135"/>
      <c r="T104" s="135"/>
      <c r="U104" s="135"/>
    </row>
    <row r="105" spans="12:21" s="134" customFormat="1" x14ac:dyDescent="0.2">
      <c r="L105" s="135"/>
      <c r="M105" s="135"/>
      <c r="N105" s="135"/>
      <c r="O105" s="135"/>
      <c r="P105" s="135"/>
      <c r="Q105" s="135"/>
      <c r="R105" s="135"/>
      <c r="S105" s="135"/>
      <c r="T105" s="135"/>
      <c r="U105" s="135"/>
    </row>
    <row r="106" spans="12:21" s="134" customFormat="1" x14ac:dyDescent="0.2">
      <c r="L106" s="135"/>
      <c r="M106" s="135"/>
      <c r="N106" s="135"/>
      <c r="O106" s="135"/>
      <c r="P106" s="135"/>
      <c r="Q106" s="135"/>
      <c r="R106" s="135"/>
      <c r="S106" s="135"/>
      <c r="T106" s="135"/>
      <c r="U106" s="135"/>
    </row>
    <row r="107" spans="12:21" s="134" customFormat="1" x14ac:dyDescent="0.2">
      <c r="L107" s="135"/>
      <c r="M107" s="135"/>
      <c r="N107" s="135"/>
      <c r="O107" s="135"/>
      <c r="P107" s="135"/>
      <c r="Q107" s="135"/>
      <c r="R107" s="135"/>
      <c r="S107" s="135"/>
      <c r="T107" s="135"/>
      <c r="U107" s="135"/>
    </row>
    <row r="108" spans="12:21" s="134" customFormat="1" x14ac:dyDescent="0.2">
      <c r="L108" s="135"/>
      <c r="M108" s="135"/>
      <c r="N108" s="135"/>
      <c r="O108" s="135"/>
      <c r="P108" s="135"/>
      <c r="Q108" s="135"/>
      <c r="R108" s="135"/>
      <c r="S108" s="135"/>
      <c r="T108" s="135"/>
      <c r="U108" s="135"/>
    </row>
    <row r="109" spans="12:21" s="134" customFormat="1" x14ac:dyDescent="0.2">
      <c r="L109" s="135"/>
      <c r="M109" s="135"/>
      <c r="N109" s="135"/>
      <c r="O109" s="135"/>
      <c r="P109" s="135"/>
      <c r="Q109" s="135"/>
      <c r="R109" s="135"/>
      <c r="S109" s="135"/>
      <c r="T109" s="135"/>
      <c r="U109" s="135"/>
    </row>
    <row r="110" spans="12:21" s="134" customFormat="1" x14ac:dyDescent="0.2">
      <c r="L110" s="135"/>
      <c r="M110" s="135"/>
      <c r="N110" s="135"/>
      <c r="O110" s="135"/>
      <c r="P110" s="135"/>
      <c r="Q110" s="135"/>
      <c r="R110" s="135"/>
      <c r="S110" s="135"/>
      <c r="T110" s="135"/>
      <c r="U110" s="135"/>
    </row>
    <row r="111" spans="12:21" s="134" customFormat="1" x14ac:dyDescent="0.2">
      <c r="L111" s="135"/>
      <c r="M111" s="135"/>
      <c r="N111" s="135"/>
      <c r="O111" s="135"/>
      <c r="P111" s="135"/>
      <c r="Q111" s="135"/>
      <c r="R111" s="135"/>
      <c r="S111" s="135"/>
      <c r="T111" s="135"/>
      <c r="U111" s="135"/>
    </row>
    <row r="112" spans="12:21" s="134" customFormat="1" x14ac:dyDescent="0.2">
      <c r="L112" s="135"/>
      <c r="M112" s="135"/>
      <c r="N112" s="135"/>
      <c r="O112" s="135"/>
      <c r="P112" s="135"/>
      <c r="Q112" s="135"/>
      <c r="R112" s="135"/>
      <c r="S112" s="135"/>
      <c r="T112" s="135"/>
      <c r="U112" s="135"/>
    </row>
    <row r="113" spans="12:21" s="134" customFormat="1" x14ac:dyDescent="0.2">
      <c r="L113" s="135"/>
      <c r="M113" s="135"/>
      <c r="N113" s="135"/>
      <c r="O113" s="135"/>
      <c r="P113" s="135"/>
      <c r="Q113" s="135"/>
      <c r="R113" s="135"/>
      <c r="S113" s="135"/>
      <c r="T113" s="135"/>
      <c r="U113" s="135"/>
    </row>
    <row r="114" spans="12:21" s="134" customFormat="1" x14ac:dyDescent="0.2">
      <c r="L114" s="135"/>
      <c r="M114" s="135"/>
      <c r="N114" s="135"/>
      <c r="O114" s="135"/>
      <c r="P114" s="135"/>
      <c r="Q114" s="135"/>
      <c r="R114" s="135"/>
      <c r="S114" s="135"/>
      <c r="T114" s="135"/>
      <c r="U114" s="135"/>
    </row>
    <row r="115" spans="12:21" s="134" customFormat="1" x14ac:dyDescent="0.2">
      <c r="L115" s="135"/>
      <c r="M115" s="135"/>
      <c r="N115" s="135"/>
      <c r="O115" s="135"/>
      <c r="P115" s="135"/>
      <c r="Q115" s="135"/>
      <c r="R115" s="135"/>
      <c r="S115" s="135"/>
      <c r="T115" s="135"/>
      <c r="U115" s="135"/>
    </row>
    <row r="116" spans="12:21" s="134" customFormat="1" x14ac:dyDescent="0.2">
      <c r="L116" s="135"/>
      <c r="M116" s="135"/>
      <c r="N116" s="135"/>
      <c r="O116" s="135"/>
      <c r="P116" s="135"/>
      <c r="Q116" s="135"/>
      <c r="R116" s="135"/>
      <c r="S116" s="135"/>
      <c r="T116" s="135"/>
      <c r="U116" s="135"/>
    </row>
    <row r="117" spans="12:21" s="134" customFormat="1" x14ac:dyDescent="0.2">
      <c r="L117" s="135"/>
      <c r="M117" s="135"/>
      <c r="N117" s="135"/>
      <c r="O117" s="135"/>
      <c r="P117" s="135"/>
      <c r="Q117" s="135"/>
      <c r="R117" s="135"/>
      <c r="S117" s="135"/>
      <c r="T117" s="135"/>
      <c r="U117" s="135"/>
    </row>
    <row r="118" spans="12:21" s="134" customFormat="1" x14ac:dyDescent="0.2">
      <c r="L118" s="135"/>
      <c r="M118" s="135"/>
      <c r="N118" s="135"/>
      <c r="O118" s="135"/>
      <c r="P118" s="135"/>
      <c r="Q118" s="135"/>
      <c r="R118" s="135"/>
      <c r="S118" s="135"/>
      <c r="T118" s="135"/>
      <c r="U118" s="135"/>
    </row>
    <row r="119" spans="12:21" s="134" customFormat="1" x14ac:dyDescent="0.2">
      <c r="L119" s="135"/>
      <c r="M119" s="135"/>
      <c r="N119" s="135"/>
      <c r="O119" s="135"/>
      <c r="P119" s="135"/>
      <c r="Q119" s="135"/>
      <c r="R119" s="135"/>
      <c r="S119" s="135"/>
      <c r="T119" s="135"/>
      <c r="U119" s="135"/>
    </row>
    <row r="120" spans="12:21" s="134" customFormat="1" x14ac:dyDescent="0.2">
      <c r="L120" s="135"/>
      <c r="M120" s="135"/>
      <c r="N120" s="135"/>
      <c r="O120" s="135"/>
      <c r="P120" s="135"/>
      <c r="Q120" s="135"/>
      <c r="R120" s="135"/>
      <c r="S120" s="135"/>
      <c r="T120" s="135"/>
      <c r="U120" s="135"/>
    </row>
    <row r="121" spans="12:21" s="134" customFormat="1" x14ac:dyDescent="0.2">
      <c r="L121" s="135"/>
      <c r="M121" s="135"/>
      <c r="N121" s="135"/>
      <c r="O121" s="135"/>
      <c r="P121" s="135"/>
      <c r="Q121" s="135"/>
      <c r="R121" s="135"/>
      <c r="S121" s="135"/>
      <c r="T121" s="135"/>
      <c r="U121" s="135"/>
    </row>
    <row r="122" spans="12:21" s="134" customFormat="1" x14ac:dyDescent="0.2">
      <c r="L122" s="135"/>
      <c r="M122" s="135"/>
      <c r="N122" s="135"/>
      <c r="O122" s="135"/>
      <c r="P122" s="135"/>
      <c r="Q122" s="135"/>
      <c r="R122" s="135"/>
      <c r="S122" s="135"/>
      <c r="T122" s="135"/>
      <c r="U122" s="135"/>
    </row>
    <row r="123" spans="12:21" s="134" customFormat="1" x14ac:dyDescent="0.2">
      <c r="L123" s="135"/>
      <c r="M123" s="135"/>
      <c r="N123" s="135"/>
      <c r="O123" s="135"/>
      <c r="P123" s="135"/>
      <c r="Q123" s="135"/>
      <c r="R123" s="135"/>
      <c r="S123" s="135"/>
      <c r="T123" s="135"/>
      <c r="U123" s="135"/>
    </row>
    <row r="124" spans="12:21" s="134" customFormat="1" x14ac:dyDescent="0.2">
      <c r="L124" s="135"/>
      <c r="M124" s="135"/>
      <c r="N124" s="135"/>
      <c r="O124" s="135"/>
      <c r="P124" s="135"/>
      <c r="Q124" s="135"/>
      <c r="R124" s="135"/>
      <c r="S124" s="135"/>
      <c r="T124" s="135"/>
      <c r="U124" s="135"/>
    </row>
    <row r="125" spans="12:21" s="134" customFormat="1" x14ac:dyDescent="0.2">
      <c r="L125" s="135"/>
      <c r="M125" s="135"/>
      <c r="N125" s="135"/>
      <c r="O125" s="135"/>
      <c r="P125" s="135"/>
      <c r="Q125" s="135"/>
      <c r="R125" s="135"/>
      <c r="S125" s="135"/>
      <c r="T125" s="135"/>
      <c r="U125" s="135"/>
    </row>
    <row r="126" spans="12:21" s="134" customFormat="1" x14ac:dyDescent="0.2">
      <c r="L126" s="135"/>
      <c r="M126" s="135"/>
      <c r="N126" s="135"/>
      <c r="O126" s="135"/>
      <c r="P126" s="135"/>
      <c r="Q126" s="135"/>
      <c r="R126" s="135"/>
      <c r="S126" s="135"/>
      <c r="T126" s="135"/>
      <c r="U126" s="135"/>
    </row>
    <row r="127" spans="12:21" s="134" customFormat="1" x14ac:dyDescent="0.2">
      <c r="L127" s="135"/>
      <c r="M127" s="135"/>
      <c r="N127" s="135"/>
      <c r="O127" s="135"/>
      <c r="P127" s="135"/>
      <c r="Q127" s="135"/>
      <c r="R127" s="135"/>
      <c r="S127" s="135"/>
      <c r="T127" s="135"/>
      <c r="U127" s="135"/>
    </row>
    <row r="128" spans="12:21" s="134" customFormat="1" x14ac:dyDescent="0.2">
      <c r="L128" s="135"/>
      <c r="M128" s="135"/>
      <c r="N128" s="135"/>
      <c r="O128" s="135"/>
      <c r="P128" s="135"/>
      <c r="Q128" s="135"/>
      <c r="R128" s="135"/>
      <c r="S128" s="135"/>
      <c r="T128" s="135"/>
      <c r="U128" s="135"/>
    </row>
    <row r="129" spans="12:21" s="134" customFormat="1" x14ac:dyDescent="0.2">
      <c r="L129" s="135"/>
      <c r="M129" s="135"/>
      <c r="N129" s="135"/>
      <c r="O129" s="135"/>
      <c r="P129" s="135"/>
      <c r="Q129" s="135"/>
      <c r="R129" s="135"/>
      <c r="S129" s="135"/>
      <c r="T129" s="135"/>
      <c r="U129" s="135"/>
    </row>
    <row r="130" spans="12:21" s="134" customFormat="1" x14ac:dyDescent="0.2">
      <c r="L130" s="135"/>
      <c r="M130" s="135"/>
      <c r="N130" s="135"/>
      <c r="O130" s="135"/>
      <c r="P130" s="135"/>
      <c r="Q130" s="135"/>
      <c r="R130" s="135"/>
      <c r="S130" s="135"/>
      <c r="T130" s="135"/>
      <c r="U130" s="135"/>
    </row>
    <row r="131" spans="12:21" s="134" customFormat="1" x14ac:dyDescent="0.2">
      <c r="L131" s="135"/>
      <c r="M131" s="135"/>
      <c r="N131" s="135"/>
      <c r="O131" s="135"/>
      <c r="P131" s="135"/>
      <c r="Q131" s="135"/>
      <c r="R131" s="135"/>
      <c r="S131" s="135"/>
      <c r="T131" s="135"/>
      <c r="U131" s="135"/>
    </row>
    <row r="132" spans="12:21" s="134" customFormat="1" x14ac:dyDescent="0.2">
      <c r="L132" s="135"/>
      <c r="M132" s="135"/>
      <c r="N132" s="135"/>
      <c r="O132" s="135"/>
      <c r="P132" s="135"/>
      <c r="Q132" s="135"/>
      <c r="R132" s="135"/>
      <c r="S132" s="135"/>
      <c r="T132" s="135"/>
      <c r="U132" s="135"/>
    </row>
    <row r="133" spans="12:21" s="134" customFormat="1" x14ac:dyDescent="0.2">
      <c r="L133" s="135"/>
      <c r="M133" s="135"/>
      <c r="N133" s="135"/>
      <c r="O133" s="135"/>
      <c r="P133" s="135"/>
      <c r="Q133" s="135"/>
      <c r="R133" s="135"/>
      <c r="S133" s="135"/>
      <c r="T133" s="135"/>
      <c r="U133" s="135"/>
    </row>
    <row r="134" spans="12:21" s="134" customFormat="1" x14ac:dyDescent="0.2">
      <c r="L134" s="135"/>
      <c r="M134" s="135"/>
      <c r="N134" s="135"/>
      <c r="O134" s="135"/>
      <c r="P134" s="135"/>
      <c r="Q134" s="135"/>
      <c r="R134" s="135"/>
      <c r="S134" s="135"/>
      <c r="T134" s="135"/>
      <c r="U134" s="135"/>
    </row>
    <row r="135" spans="12:21" s="134" customFormat="1" x14ac:dyDescent="0.2">
      <c r="L135" s="135"/>
      <c r="M135" s="135"/>
      <c r="N135" s="135"/>
      <c r="O135" s="135"/>
      <c r="P135" s="135"/>
      <c r="Q135" s="135"/>
      <c r="R135" s="135"/>
      <c r="S135" s="135"/>
      <c r="T135" s="135"/>
      <c r="U135" s="135"/>
    </row>
    <row r="136" spans="12:21" s="134" customFormat="1" x14ac:dyDescent="0.2">
      <c r="L136" s="135"/>
      <c r="M136" s="135"/>
      <c r="N136" s="135"/>
      <c r="O136" s="135"/>
      <c r="P136" s="135"/>
      <c r="Q136" s="135"/>
      <c r="R136" s="135"/>
      <c r="S136" s="135"/>
      <c r="T136" s="135"/>
      <c r="U136" s="135"/>
    </row>
    <row r="137" spans="12:21" s="134" customFormat="1" x14ac:dyDescent="0.2">
      <c r="L137" s="135"/>
      <c r="M137" s="135"/>
      <c r="N137" s="135"/>
      <c r="O137" s="135"/>
      <c r="P137" s="135"/>
      <c r="Q137" s="135"/>
      <c r="R137" s="135"/>
      <c r="S137" s="135"/>
      <c r="T137" s="135"/>
      <c r="U137" s="135"/>
    </row>
    <row r="138" spans="12:21" s="134" customFormat="1" x14ac:dyDescent="0.2">
      <c r="L138" s="135"/>
      <c r="M138" s="135"/>
      <c r="N138" s="135"/>
      <c r="O138" s="135"/>
      <c r="P138" s="135"/>
      <c r="Q138" s="135"/>
      <c r="R138" s="135"/>
      <c r="S138" s="135"/>
      <c r="T138" s="135"/>
      <c r="U138" s="135"/>
    </row>
    <row r="139" spans="12:21" s="134" customFormat="1" x14ac:dyDescent="0.2">
      <c r="L139" s="135"/>
      <c r="M139" s="135"/>
      <c r="N139" s="135"/>
      <c r="O139" s="135"/>
      <c r="P139" s="135"/>
      <c r="Q139" s="135"/>
      <c r="R139" s="135"/>
      <c r="S139" s="135"/>
      <c r="T139" s="135"/>
      <c r="U139" s="135"/>
    </row>
    <row r="140" spans="12:21" s="134" customFormat="1" x14ac:dyDescent="0.2"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</row>
    <row r="141" spans="12:21" s="134" customFormat="1" x14ac:dyDescent="0.2">
      <c r="L141" s="135"/>
      <c r="M141" s="135"/>
      <c r="N141" s="135"/>
      <c r="O141" s="135"/>
      <c r="P141" s="135"/>
      <c r="Q141" s="135"/>
      <c r="R141" s="135"/>
      <c r="S141" s="135"/>
      <c r="T141" s="135"/>
      <c r="U141" s="135"/>
    </row>
    <row r="142" spans="12:21" s="134" customFormat="1" x14ac:dyDescent="0.2"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</row>
    <row r="143" spans="12:21" s="134" customFormat="1" x14ac:dyDescent="0.2"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</row>
    <row r="144" spans="12:21" s="134" customFormat="1" x14ac:dyDescent="0.2">
      <c r="L144" s="135"/>
      <c r="M144" s="135"/>
      <c r="N144" s="135"/>
      <c r="O144" s="135"/>
      <c r="P144" s="135"/>
      <c r="Q144" s="135"/>
      <c r="R144" s="135"/>
      <c r="S144" s="135"/>
      <c r="T144" s="135"/>
      <c r="U144" s="135"/>
    </row>
    <row r="145" spans="12:21" s="134" customFormat="1" x14ac:dyDescent="0.2">
      <c r="L145" s="135"/>
      <c r="M145" s="135"/>
      <c r="N145" s="135"/>
      <c r="O145" s="135"/>
      <c r="P145" s="135"/>
      <c r="Q145" s="135"/>
      <c r="R145" s="135"/>
      <c r="S145" s="135"/>
      <c r="T145" s="135"/>
      <c r="U145" s="135"/>
    </row>
    <row r="146" spans="12:21" s="134" customFormat="1" x14ac:dyDescent="0.2"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</row>
    <row r="147" spans="12:21" s="134" customFormat="1" x14ac:dyDescent="0.2">
      <c r="L147" s="135"/>
      <c r="M147" s="135"/>
      <c r="N147" s="135"/>
      <c r="O147" s="135"/>
      <c r="P147" s="135"/>
      <c r="Q147" s="135"/>
      <c r="R147" s="135"/>
      <c r="S147" s="135"/>
      <c r="T147" s="135"/>
      <c r="U147" s="135"/>
    </row>
    <row r="148" spans="12:21" s="134" customFormat="1" x14ac:dyDescent="0.2">
      <c r="L148" s="135"/>
      <c r="M148" s="135"/>
      <c r="N148" s="135"/>
      <c r="O148" s="135"/>
      <c r="P148" s="135"/>
      <c r="Q148" s="135"/>
      <c r="R148" s="135"/>
      <c r="S148" s="135"/>
      <c r="T148" s="135"/>
      <c r="U148" s="135"/>
    </row>
    <row r="149" spans="12:21" s="134" customFormat="1" x14ac:dyDescent="0.2"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</row>
    <row r="150" spans="12:21" s="134" customFormat="1" x14ac:dyDescent="0.2"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</row>
    <row r="151" spans="12:21" s="134" customFormat="1" x14ac:dyDescent="0.2">
      <c r="L151" s="135"/>
      <c r="M151" s="135"/>
      <c r="N151" s="135"/>
      <c r="O151" s="135"/>
      <c r="P151" s="135"/>
      <c r="Q151" s="135"/>
      <c r="R151" s="135"/>
      <c r="S151" s="135"/>
      <c r="T151" s="135"/>
      <c r="U151" s="135"/>
    </row>
    <row r="152" spans="12:21" s="134" customFormat="1" x14ac:dyDescent="0.2">
      <c r="L152" s="135"/>
      <c r="M152" s="135"/>
      <c r="N152" s="135"/>
      <c r="O152" s="135"/>
      <c r="P152" s="135"/>
      <c r="Q152" s="135"/>
      <c r="R152" s="135"/>
      <c r="S152" s="135"/>
      <c r="T152" s="135"/>
      <c r="U152" s="135"/>
    </row>
    <row r="153" spans="12:21" s="134" customFormat="1" x14ac:dyDescent="0.2">
      <c r="L153" s="135"/>
      <c r="M153" s="135"/>
      <c r="N153" s="135"/>
      <c r="O153" s="135"/>
      <c r="P153" s="135"/>
      <c r="Q153" s="135"/>
      <c r="R153" s="135"/>
      <c r="S153" s="135"/>
      <c r="T153" s="135"/>
      <c r="U153" s="135"/>
    </row>
    <row r="154" spans="12:21" s="134" customFormat="1" x14ac:dyDescent="0.2">
      <c r="L154" s="135"/>
      <c r="M154" s="135"/>
      <c r="N154" s="135"/>
      <c r="O154" s="135"/>
      <c r="P154" s="135"/>
      <c r="Q154" s="135"/>
      <c r="R154" s="135"/>
      <c r="S154" s="135"/>
      <c r="T154" s="135"/>
      <c r="U154" s="135"/>
    </row>
    <row r="155" spans="12:21" s="134" customFormat="1" x14ac:dyDescent="0.2">
      <c r="L155" s="135"/>
      <c r="M155" s="135"/>
      <c r="N155" s="135"/>
      <c r="O155" s="135"/>
      <c r="P155" s="135"/>
      <c r="Q155" s="135"/>
      <c r="R155" s="135"/>
      <c r="S155" s="135"/>
      <c r="T155" s="135"/>
      <c r="U155" s="135"/>
    </row>
    <row r="156" spans="12:21" s="134" customFormat="1" x14ac:dyDescent="0.2">
      <c r="L156" s="135"/>
      <c r="M156" s="135"/>
      <c r="N156" s="135"/>
      <c r="O156" s="135"/>
      <c r="P156" s="135"/>
      <c r="Q156" s="135"/>
      <c r="R156" s="135"/>
      <c r="S156" s="135"/>
      <c r="T156" s="135"/>
      <c r="U156" s="135"/>
    </row>
    <row r="157" spans="12:21" s="134" customFormat="1" x14ac:dyDescent="0.2">
      <c r="L157" s="135"/>
      <c r="M157" s="135"/>
      <c r="N157" s="135"/>
      <c r="O157" s="135"/>
      <c r="P157" s="135"/>
      <c r="Q157" s="135"/>
      <c r="R157" s="135"/>
      <c r="S157" s="135"/>
      <c r="T157" s="135"/>
      <c r="U157" s="135"/>
    </row>
    <row r="158" spans="12:21" s="134" customFormat="1" x14ac:dyDescent="0.2">
      <c r="L158" s="135"/>
      <c r="M158" s="135"/>
      <c r="N158" s="135"/>
      <c r="O158" s="135"/>
      <c r="P158" s="135"/>
      <c r="Q158" s="135"/>
      <c r="R158" s="135"/>
      <c r="S158" s="135"/>
      <c r="T158" s="135"/>
      <c r="U158" s="135"/>
    </row>
    <row r="159" spans="12:21" s="134" customFormat="1" x14ac:dyDescent="0.2">
      <c r="L159" s="135"/>
      <c r="M159" s="135"/>
      <c r="N159" s="135"/>
      <c r="O159" s="135"/>
      <c r="P159" s="135"/>
      <c r="Q159" s="135"/>
      <c r="R159" s="135"/>
      <c r="S159" s="135"/>
      <c r="T159" s="135"/>
      <c r="U159" s="135"/>
    </row>
    <row r="160" spans="12:21" s="134" customFormat="1" x14ac:dyDescent="0.2">
      <c r="L160" s="135"/>
      <c r="M160" s="135"/>
      <c r="N160" s="135"/>
      <c r="O160" s="135"/>
      <c r="P160" s="135"/>
      <c r="Q160" s="135"/>
      <c r="R160" s="135"/>
      <c r="S160" s="135"/>
      <c r="T160" s="135"/>
      <c r="U160" s="135"/>
    </row>
    <row r="161" spans="12:21" s="134" customFormat="1" x14ac:dyDescent="0.2">
      <c r="L161" s="135"/>
      <c r="M161" s="135"/>
      <c r="N161" s="135"/>
      <c r="O161" s="135"/>
      <c r="P161" s="135"/>
      <c r="Q161" s="135"/>
      <c r="R161" s="135"/>
      <c r="S161" s="135"/>
      <c r="T161" s="135"/>
      <c r="U161" s="135"/>
    </row>
    <row r="162" spans="12:21" s="134" customFormat="1" x14ac:dyDescent="0.2">
      <c r="L162" s="135"/>
      <c r="M162" s="135"/>
      <c r="N162" s="135"/>
      <c r="O162" s="135"/>
      <c r="P162" s="135"/>
      <c r="Q162" s="135"/>
      <c r="R162" s="135"/>
      <c r="S162" s="135"/>
      <c r="T162" s="135"/>
      <c r="U162" s="135"/>
    </row>
    <row r="163" spans="12:21" s="134" customFormat="1" x14ac:dyDescent="0.2">
      <c r="L163" s="135"/>
      <c r="M163" s="135"/>
      <c r="N163" s="135"/>
      <c r="O163" s="135"/>
      <c r="P163" s="135"/>
      <c r="Q163" s="135"/>
      <c r="R163" s="135"/>
      <c r="S163" s="135"/>
      <c r="T163" s="135"/>
      <c r="U163" s="135"/>
    </row>
    <row r="164" spans="12:21" s="134" customFormat="1" x14ac:dyDescent="0.2">
      <c r="L164" s="135"/>
      <c r="M164" s="135"/>
      <c r="N164" s="135"/>
      <c r="O164" s="135"/>
      <c r="P164" s="135"/>
      <c r="Q164" s="135"/>
      <c r="R164" s="135"/>
      <c r="S164" s="135"/>
      <c r="T164" s="135"/>
      <c r="U164" s="135"/>
    </row>
    <row r="165" spans="12:21" s="134" customFormat="1" x14ac:dyDescent="0.2">
      <c r="L165" s="135"/>
      <c r="M165" s="135"/>
      <c r="N165" s="135"/>
      <c r="O165" s="135"/>
      <c r="P165" s="135"/>
      <c r="Q165" s="135"/>
      <c r="R165" s="135"/>
      <c r="S165" s="135"/>
      <c r="T165" s="135"/>
      <c r="U165" s="135"/>
    </row>
    <row r="166" spans="12:21" s="134" customFormat="1" x14ac:dyDescent="0.2">
      <c r="L166" s="135"/>
      <c r="M166" s="135"/>
      <c r="N166" s="135"/>
      <c r="O166" s="135"/>
      <c r="P166" s="135"/>
      <c r="Q166" s="135"/>
      <c r="R166" s="135"/>
      <c r="S166" s="135"/>
      <c r="T166" s="135"/>
      <c r="U166" s="135"/>
    </row>
    <row r="167" spans="12:21" s="134" customFormat="1" x14ac:dyDescent="0.2">
      <c r="L167" s="135"/>
      <c r="M167" s="135"/>
      <c r="N167" s="135"/>
      <c r="O167" s="135"/>
      <c r="P167" s="135"/>
      <c r="Q167" s="135"/>
      <c r="R167" s="135"/>
      <c r="S167" s="135"/>
      <c r="T167" s="135"/>
      <c r="U167" s="135"/>
    </row>
    <row r="168" spans="12:21" s="134" customFormat="1" x14ac:dyDescent="0.2">
      <c r="L168" s="135"/>
      <c r="M168" s="135"/>
      <c r="N168" s="135"/>
      <c r="O168" s="135"/>
      <c r="P168" s="135"/>
      <c r="Q168" s="135"/>
      <c r="R168" s="135"/>
      <c r="S168" s="135"/>
      <c r="T168" s="135"/>
      <c r="U168" s="135"/>
    </row>
    <row r="169" spans="12:21" s="134" customFormat="1" x14ac:dyDescent="0.2">
      <c r="L169" s="135"/>
      <c r="M169" s="135"/>
      <c r="N169" s="135"/>
      <c r="O169" s="135"/>
      <c r="P169" s="135"/>
      <c r="Q169" s="135"/>
      <c r="R169" s="135"/>
      <c r="S169" s="135"/>
      <c r="T169" s="135"/>
      <c r="U169" s="135"/>
    </row>
    <row r="170" spans="12:21" s="134" customFormat="1" x14ac:dyDescent="0.2">
      <c r="L170" s="135"/>
      <c r="M170" s="135"/>
      <c r="N170" s="135"/>
      <c r="O170" s="135"/>
      <c r="P170" s="135"/>
      <c r="Q170" s="135"/>
      <c r="R170" s="135"/>
      <c r="S170" s="135"/>
      <c r="T170" s="135"/>
      <c r="U170" s="135"/>
    </row>
    <row r="171" spans="12:21" s="134" customFormat="1" x14ac:dyDescent="0.2">
      <c r="L171" s="135"/>
      <c r="M171" s="135"/>
      <c r="N171" s="135"/>
      <c r="O171" s="135"/>
      <c r="P171" s="135"/>
      <c r="Q171" s="135"/>
      <c r="R171" s="135"/>
      <c r="S171" s="135"/>
      <c r="T171" s="135"/>
      <c r="U171" s="135"/>
    </row>
    <row r="172" spans="12:21" s="134" customFormat="1" x14ac:dyDescent="0.2">
      <c r="L172" s="135"/>
      <c r="M172" s="135"/>
      <c r="N172" s="135"/>
      <c r="O172" s="135"/>
      <c r="P172" s="135"/>
      <c r="Q172" s="135"/>
      <c r="R172" s="135"/>
      <c r="S172" s="135"/>
      <c r="T172" s="135"/>
      <c r="U172" s="135"/>
    </row>
    <row r="173" spans="12:21" s="134" customFormat="1" x14ac:dyDescent="0.2">
      <c r="L173" s="135"/>
      <c r="M173" s="135"/>
      <c r="N173" s="135"/>
      <c r="O173" s="135"/>
      <c r="P173" s="135"/>
      <c r="Q173" s="135"/>
      <c r="R173" s="135"/>
      <c r="S173" s="135"/>
      <c r="T173" s="135"/>
      <c r="U173" s="135"/>
    </row>
    <row r="174" spans="12:21" s="134" customFormat="1" x14ac:dyDescent="0.2">
      <c r="L174" s="135"/>
      <c r="M174" s="135"/>
      <c r="N174" s="135"/>
      <c r="O174" s="135"/>
      <c r="P174" s="135"/>
      <c r="Q174" s="135"/>
      <c r="R174" s="135"/>
      <c r="S174" s="135"/>
      <c r="T174" s="135"/>
      <c r="U174" s="135"/>
    </row>
    <row r="175" spans="12:21" s="134" customFormat="1" x14ac:dyDescent="0.2">
      <c r="L175" s="135"/>
      <c r="M175" s="135"/>
      <c r="N175" s="135"/>
      <c r="O175" s="135"/>
      <c r="P175" s="135"/>
      <c r="Q175" s="135"/>
      <c r="R175" s="135"/>
      <c r="S175" s="135"/>
      <c r="T175" s="135"/>
      <c r="U175" s="135"/>
    </row>
    <row r="176" spans="12:21" s="134" customFormat="1" x14ac:dyDescent="0.2">
      <c r="L176" s="135"/>
      <c r="M176" s="135"/>
      <c r="N176" s="135"/>
      <c r="O176" s="135"/>
      <c r="P176" s="135"/>
      <c r="Q176" s="135"/>
      <c r="R176" s="135"/>
      <c r="S176" s="135"/>
      <c r="T176" s="135"/>
      <c r="U176" s="135"/>
    </row>
    <row r="177" spans="12:21" s="134" customFormat="1" x14ac:dyDescent="0.2">
      <c r="L177" s="135"/>
      <c r="M177" s="135"/>
      <c r="N177" s="135"/>
      <c r="O177" s="135"/>
      <c r="P177" s="135"/>
      <c r="Q177" s="135"/>
      <c r="R177" s="135"/>
      <c r="S177" s="135"/>
      <c r="T177" s="135"/>
      <c r="U177" s="135"/>
    </row>
    <row r="178" spans="12:21" s="134" customFormat="1" x14ac:dyDescent="0.2">
      <c r="L178" s="135"/>
      <c r="M178" s="135"/>
      <c r="N178" s="135"/>
      <c r="O178" s="135"/>
      <c r="P178" s="135"/>
      <c r="Q178" s="135"/>
      <c r="R178" s="135"/>
      <c r="S178" s="135"/>
      <c r="T178" s="135"/>
      <c r="U178" s="135"/>
    </row>
    <row r="179" spans="12:21" s="134" customFormat="1" x14ac:dyDescent="0.2">
      <c r="L179" s="135"/>
      <c r="M179" s="135"/>
      <c r="N179" s="135"/>
      <c r="O179" s="135"/>
      <c r="P179" s="135"/>
      <c r="Q179" s="135"/>
      <c r="R179" s="135"/>
      <c r="S179" s="135"/>
      <c r="T179" s="135"/>
      <c r="U179" s="135"/>
    </row>
    <row r="180" spans="12:21" s="134" customFormat="1" x14ac:dyDescent="0.2">
      <c r="L180" s="135"/>
      <c r="M180" s="135"/>
      <c r="N180" s="135"/>
      <c r="O180" s="135"/>
      <c r="P180" s="135"/>
      <c r="Q180" s="135"/>
      <c r="R180" s="135"/>
      <c r="S180" s="135"/>
      <c r="T180" s="135"/>
      <c r="U180" s="135"/>
    </row>
    <row r="181" spans="12:21" s="134" customFormat="1" x14ac:dyDescent="0.2">
      <c r="L181" s="135"/>
      <c r="M181" s="135"/>
      <c r="N181" s="135"/>
      <c r="O181" s="135"/>
      <c r="P181" s="135"/>
      <c r="Q181" s="135"/>
      <c r="R181" s="135"/>
      <c r="S181" s="135"/>
      <c r="T181" s="135"/>
      <c r="U181" s="135"/>
    </row>
    <row r="182" spans="12:21" s="134" customFormat="1" x14ac:dyDescent="0.2">
      <c r="L182" s="135"/>
      <c r="M182" s="135"/>
      <c r="N182" s="135"/>
      <c r="O182" s="135"/>
      <c r="P182" s="135"/>
      <c r="Q182" s="135"/>
      <c r="R182" s="135"/>
      <c r="S182" s="135"/>
      <c r="T182" s="135"/>
      <c r="U182" s="135"/>
    </row>
    <row r="183" spans="12:21" s="134" customFormat="1" x14ac:dyDescent="0.2">
      <c r="L183" s="135"/>
      <c r="M183" s="135"/>
      <c r="N183" s="135"/>
      <c r="O183" s="135"/>
      <c r="P183" s="135"/>
      <c r="Q183" s="135"/>
      <c r="R183" s="135"/>
      <c r="S183" s="135"/>
      <c r="T183" s="135"/>
      <c r="U183" s="135"/>
    </row>
    <row r="184" spans="12:21" s="134" customFormat="1" x14ac:dyDescent="0.2">
      <c r="L184" s="135"/>
      <c r="M184" s="135"/>
      <c r="N184" s="135"/>
      <c r="O184" s="135"/>
      <c r="P184" s="135"/>
      <c r="Q184" s="135"/>
      <c r="R184" s="135"/>
      <c r="S184" s="135"/>
      <c r="T184" s="135"/>
      <c r="U184" s="135"/>
    </row>
    <row r="185" spans="12:21" s="134" customFormat="1" x14ac:dyDescent="0.2">
      <c r="L185" s="135"/>
      <c r="M185" s="135"/>
      <c r="N185" s="135"/>
      <c r="O185" s="135"/>
      <c r="P185" s="135"/>
      <c r="Q185" s="135"/>
      <c r="R185" s="135"/>
      <c r="S185" s="135"/>
      <c r="T185" s="135"/>
      <c r="U185" s="135"/>
    </row>
    <row r="186" spans="12:21" s="134" customFormat="1" x14ac:dyDescent="0.2">
      <c r="L186" s="135"/>
      <c r="M186" s="135"/>
      <c r="N186" s="135"/>
      <c r="O186" s="135"/>
      <c r="P186" s="135"/>
      <c r="Q186" s="135"/>
      <c r="R186" s="135"/>
      <c r="S186" s="135"/>
      <c r="T186" s="135"/>
      <c r="U186" s="135"/>
    </row>
    <row r="187" spans="12:21" s="134" customFormat="1" x14ac:dyDescent="0.2">
      <c r="L187" s="135"/>
      <c r="M187" s="135"/>
      <c r="N187" s="135"/>
      <c r="O187" s="135"/>
      <c r="P187" s="135"/>
      <c r="Q187" s="135"/>
      <c r="R187" s="135"/>
      <c r="S187" s="135"/>
      <c r="T187" s="135"/>
      <c r="U187" s="135"/>
    </row>
    <row r="188" spans="12:21" s="134" customFormat="1" x14ac:dyDescent="0.2">
      <c r="L188" s="135"/>
      <c r="M188" s="135"/>
      <c r="N188" s="135"/>
      <c r="O188" s="135"/>
      <c r="P188" s="135"/>
      <c r="Q188" s="135"/>
      <c r="R188" s="135"/>
      <c r="S188" s="135"/>
      <c r="T188" s="135"/>
      <c r="U188" s="135"/>
    </row>
    <row r="189" spans="12:21" s="134" customFormat="1" x14ac:dyDescent="0.2">
      <c r="L189" s="135"/>
      <c r="M189" s="135"/>
      <c r="N189" s="135"/>
      <c r="O189" s="135"/>
      <c r="P189" s="135"/>
      <c r="Q189" s="135"/>
      <c r="R189" s="135"/>
      <c r="S189" s="135"/>
      <c r="T189" s="135"/>
      <c r="U189" s="135"/>
    </row>
    <row r="190" spans="12:21" s="134" customFormat="1" x14ac:dyDescent="0.2">
      <c r="L190" s="135"/>
      <c r="M190" s="135"/>
      <c r="N190" s="135"/>
      <c r="O190" s="135"/>
      <c r="P190" s="135"/>
      <c r="Q190" s="135"/>
      <c r="R190" s="135"/>
      <c r="S190" s="135"/>
      <c r="T190" s="135"/>
      <c r="U190" s="135"/>
    </row>
    <row r="191" spans="12:21" s="134" customFormat="1" x14ac:dyDescent="0.2">
      <c r="L191" s="135"/>
      <c r="M191" s="135"/>
      <c r="N191" s="135"/>
      <c r="O191" s="135"/>
      <c r="P191" s="135"/>
      <c r="Q191" s="135"/>
      <c r="R191" s="135"/>
      <c r="S191" s="135"/>
      <c r="T191" s="135"/>
      <c r="U191" s="135"/>
    </row>
    <row r="192" spans="12:21" s="134" customFormat="1" x14ac:dyDescent="0.2">
      <c r="L192" s="135"/>
      <c r="M192" s="135"/>
      <c r="N192" s="135"/>
      <c r="O192" s="135"/>
      <c r="P192" s="135"/>
      <c r="Q192" s="135"/>
      <c r="R192" s="135"/>
      <c r="S192" s="135"/>
      <c r="T192" s="135"/>
      <c r="U192" s="135"/>
    </row>
    <row r="193" spans="12:21" s="134" customFormat="1" x14ac:dyDescent="0.2">
      <c r="L193" s="135"/>
      <c r="M193" s="135"/>
      <c r="N193" s="135"/>
      <c r="O193" s="135"/>
      <c r="P193" s="135"/>
      <c r="Q193" s="135"/>
      <c r="R193" s="135"/>
      <c r="S193" s="135"/>
      <c r="T193" s="135"/>
      <c r="U193" s="135"/>
    </row>
    <row r="194" spans="12:21" s="134" customFormat="1" x14ac:dyDescent="0.2">
      <c r="L194" s="135"/>
      <c r="M194" s="135"/>
      <c r="N194" s="135"/>
      <c r="O194" s="135"/>
      <c r="P194" s="135"/>
      <c r="Q194" s="135"/>
      <c r="R194" s="135"/>
      <c r="S194" s="135"/>
      <c r="T194" s="135"/>
      <c r="U194" s="135"/>
    </row>
    <row r="195" spans="12:21" s="134" customFormat="1" x14ac:dyDescent="0.2">
      <c r="L195" s="135"/>
      <c r="M195" s="135"/>
      <c r="N195" s="135"/>
      <c r="O195" s="135"/>
      <c r="P195" s="135"/>
      <c r="Q195" s="135"/>
      <c r="R195" s="135"/>
      <c r="S195" s="135"/>
      <c r="T195" s="135"/>
      <c r="U195" s="135"/>
    </row>
    <row r="196" spans="12:21" s="134" customFormat="1" x14ac:dyDescent="0.2">
      <c r="L196" s="135"/>
      <c r="M196" s="135"/>
      <c r="N196" s="135"/>
      <c r="O196" s="135"/>
      <c r="P196" s="135"/>
      <c r="Q196" s="135"/>
      <c r="R196" s="135"/>
      <c r="S196" s="135"/>
      <c r="T196" s="135"/>
      <c r="U196" s="135"/>
    </row>
    <row r="197" spans="12:21" s="134" customFormat="1" x14ac:dyDescent="0.2">
      <c r="L197" s="135"/>
      <c r="M197" s="135"/>
      <c r="N197" s="135"/>
      <c r="O197" s="135"/>
      <c r="P197" s="135"/>
      <c r="Q197" s="135"/>
      <c r="R197" s="135"/>
      <c r="S197" s="135"/>
      <c r="T197" s="135"/>
      <c r="U197" s="135"/>
    </row>
    <row r="198" spans="12:21" s="134" customFormat="1" x14ac:dyDescent="0.2">
      <c r="L198" s="135"/>
      <c r="M198" s="135"/>
      <c r="N198" s="135"/>
      <c r="O198" s="135"/>
      <c r="P198" s="135"/>
      <c r="Q198" s="135"/>
      <c r="R198" s="135"/>
      <c r="S198" s="135"/>
      <c r="T198" s="135"/>
      <c r="U198" s="135"/>
    </row>
    <row r="199" spans="12:21" s="134" customFormat="1" x14ac:dyDescent="0.2">
      <c r="L199" s="135"/>
      <c r="M199" s="135"/>
      <c r="N199" s="135"/>
      <c r="O199" s="135"/>
      <c r="P199" s="135"/>
      <c r="Q199" s="135"/>
      <c r="R199" s="135"/>
      <c r="S199" s="135"/>
      <c r="T199" s="135"/>
      <c r="U199" s="135"/>
    </row>
    <row r="200" spans="12:21" s="134" customFormat="1" x14ac:dyDescent="0.2">
      <c r="L200" s="135"/>
      <c r="M200" s="135"/>
      <c r="N200" s="135"/>
      <c r="O200" s="135"/>
      <c r="P200" s="135"/>
      <c r="Q200" s="135"/>
      <c r="R200" s="135"/>
      <c r="S200" s="135"/>
      <c r="T200" s="135"/>
      <c r="U200" s="135"/>
    </row>
    <row r="201" spans="12:21" s="134" customFormat="1" x14ac:dyDescent="0.2">
      <c r="L201" s="135"/>
      <c r="M201" s="135"/>
      <c r="N201" s="135"/>
      <c r="O201" s="135"/>
      <c r="P201" s="135"/>
      <c r="Q201" s="135"/>
      <c r="R201" s="135"/>
      <c r="S201" s="135"/>
      <c r="T201" s="135"/>
      <c r="U201" s="135"/>
    </row>
    <row r="202" spans="12:21" s="134" customFormat="1" x14ac:dyDescent="0.2">
      <c r="L202" s="135"/>
      <c r="M202" s="135"/>
      <c r="N202" s="135"/>
      <c r="O202" s="135"/>
      <c r="P202" s="135"/>
      <c r="Q202" s="135"/>
      <c r="R202" s="135"/>
      <c r="S202" s="135"/>
      <c r="T202" s="135"/>
      <c r="U202" s="135"/>
    </row>
    <row r="203" spans="12:21" s="134" customFormat="1" x14ac:dyDescent="0.2">
      <c r="L203" s="135"/>
      <c r="M203" s="135"/>
      <c r="N203" s="135"/>
      <c r="O203" s="135"/>
      <c r="P203" s="135"/>
      <c r="Q203" s="135"/>
      <c r="R203" s="135"/>
      <c r="S203" s="135"/>
      <c r="T203" s="135"/>
      <c r="U203" s="135"/>
    </row>
    <row r="204" spans="12:21" s="134" customFormat="1" x14ac:dyDescent="0.2">
      <c r="L204" s="135"/>
      <c r="M204" s="135"/>
      <c r="N204" s="135"/>
      <c r="O204" s="135"/>
      <c r="P204" s="135"/>
      <c r="Q204" s="135"/>
      <c r="R204" s="135"/>
      <c r="S204" s="135"/>
      <c r="T204" s="135"/>
      <c r="U204" s="135"/>
    </row>
    <row r="205" spans="12:21" s="134" customFormat="1" x14ac:dyDescent="0.2">
      <c r="L205" s="135"/>
      <c r="M205" s="135"/>
      <c r="N205" s="135"/>
      <c r="O205" s="135"/>
      <c r="P205" s="135"/>
      <c r="Q205" s="135"/>
      <c r="R205" s="135"/>
      <c r="S205" s="135"/>
      <c r="T205" s="135"/>
      <c r="U205" s="135"/>
    </row>
    <row r="206" spans="12:21" s="134" customFormat="1" x14ac:dyDescent="0.2">
      <c r="L206" s="135"/>
      <c r="M206" s="135"/>
      <c r="N206" s="135"/>
      <c r="O206" s="135"/>
      <c r="P206" s="135"/>
      <c r="Q206" s="135"/>
      <c r="R206" s="135"/>
      <c r="S206" s="135"/>
      <c r="T206" s="135"/>
      <c r="U206" s="135"/>
    </row>
    <row r="207" spans="12:21" s="134" customFormat="1" x14ac:dyDescent="0.2">
      <c r="L207" s="135"/>
      <c r="M207" s="135"/>
      <c r="N207" s="135"/>
      <c r="O207" s="135"/>
      <c r="P207" s="135"/>
      <c r="Q207" s="135"/>
      <c r="R207" s="135"/>
      <c r="S207" s="135"/>
      <c r="T207" s="135"/>
      <c r="U207" s="135"/>
    </row>
    <row r="208" spans="12:21" s="134" customFormat="1" x14ac:dyDescent="0.2">
      <c r="L208" s="135"/>
      <c r="M208" s="135"/>
      <c r="N208" s="135"/>
      <c r="O208" s="135"/>
      <c r="P208" s="135"/>
      <c r="Q208" s="135"/>
      <c r="R208" s="135"/>
      <c r="S208" s="135"/>
      <c r="T208" s="135"/>
      <c r="U208" s="135"/>
    </row>
    <row r="209" spans="12:21" s="134" customFormat="1" x14ac:dyDescent="0.2">
      <c r="L209" s="135"/>
      <c r="M209" s="135"/>
      <c r="N209" s="135"/>
      <c r="O209" s="135"/>
      <c r="P209" s="135"/>
      <c r="Q209" s="135"/>
      <c r="R209" s="135"/>
      <c r="S209" s="135"/>
      <c r="T209" s="135"/>
      <c r="U209" s="135"/>
    </row>
    <row r="210" spans="12:21" s="134" customFormat="1" x14ac:dyDescent="0.2">
      <c r="L210" s="135"/>
      <c r="M210" s="135"/>
      <c r="N210" s="135"/>
      <c r="O210" s="135"/>
      <c r="P210" s="135"/>
      <c r="Q210" s="135"/>
      <c r="R210" s="135"/>
      <c r="S210" s="135"/>
      <c r="T210" s="135"/>
      <c r="U210" s="135"/>
    </row>
    <row r="211" spans="12:21" s="134" customFormat="1" x14ac:dyDescent="0.2">
      <c r="L211" s="135"/>
      <c r="M211" s="135"/>
      <c r="N211" s="135"/>
      <c r="O211" s="135"/>
      <c r="P211" s="135"/>
      <c r="Q211" s="135"/>
      <c r="R211" s="135"/>
      <c r="S211" s="135"/>
      <c r="T211" s="135"/>
      <c r="U211" s="135"/>
    </row>
    <row r="212" spans="12:21" s="134" customFormat="1" x14ac:dyDescent="0.2">
      <c r="L212" s="135"/>
      <c r="M212" s="135"/>
      <c r="N212" s="135"/>
      <c r="O212" s="135"/>
      <c r="P212" s="135"/>
      <c r="Q212" s="135"/>
      <c r="R212" s="135"/>
      <c r="S212" s="135"/>
      <c r="T212" s="135"/>
      <c r="U212" s="135"/>
    </row>
    <row r="213" spans="12:21" s="134" customFormat="1" x14ac:dyDescent="0.2">
      <c r="L213" s="135"/>
      <c r="M213" s="135"/>
      <c r="N213" s="135"/>
      <c r="O213" s="135"/>
      <c r="P213" s="135"/>
      <c r="Q213" s="135"/>
      <c r="R213" s="135"/>
      <c r="S213" s="135"/>
      <c r="T213" s="135"/>
      <c r="U213" s="135"/>
    </row>
    <row r="214" spans="12:21" s="134" customFormat="1" x14ac:dyDescent="0.2">
      <c r="L214" s="135"/>
      <c r="M214" s="135"/>
      <c r="N214" s="135"/>
      <c r="O214" s="135"/>
      <c r="P214" s="135"/>
      <c r="Q214" s="135"/>
      <c r="R214" s="135"/>
      <c r="S214" s="135"/>
      <c r="T214" s="135"/>
      <c r="U214" s="135"/>
    </row>
    <row r="215" spans="12:21" s="134" customFormat="1" x14ac:dyDescent="0.2">
      <c r="L215" s="135"/>
      <c r="M215" s="135"/>
      <c r="N215" s="135"/>
      <c r="O215" s="135"/>
      <c r="P215" s="135"/>
      <c r="Q215" s="135"/>
      <c r="R215" s="135"/>
      <c r="S215" s="135"/>
      <c r="T215" s="135"/>
      <c r="U215" s="135"/>
    </row>
    <row r="216" spans="12:21" s="134" customFormat="1" x14ac:dyDescent="0.2">
      <c r="L216" s="135"/>
      <c r="M216" s="135"/>
      <c r="N216" s="135"/>
      <c r="O216" s="135"/>
      <c r="P216" s="135"/>
      <c r="Q216" s="135"/>
      <c r="R216" s="135"/>
      <c r="S216" s="135"/>
      <c r="T216" s="135"/>
      <c r="U216" s="135"/>
    </row>
    <row r="217" spans="12:21" s="134" customFormat="1" x14ac:dyDescent="0.2">
      <c r="L217" s="135"/>
      <c r="M217" s="135"/>
      <c r="N217" s="135"/>
      <c r="O217" s="135"/>
      <c r="P217" s="135"/>
      <c r="Q217" s="135"/>
      <c r="R217" s="135"/>
      <c r="S217" s="135"/>
      <c r="T217" s="135"/>
      <c r="U217" s="135"/>
    </row>
    <row r="218" spans="12:21" s="134" customFormat="1" x14ac:dyDescent="0.2">
      <c r="L218" s="135"/>
      <c r="M218" s="135"/>
      <c r="N218" s="135"/>
      <c r="O218" s="135"/>
      <c r="P218" s="135"/>
      <c r="Q218" s="135"/>
      <c r="R218" s="135"/>
      <c r="S218" s="135"/>
      <c r="T218" s="135"/>
      <c r="U218" s="135"/>
    </row>
    <row r="219" spans="12:21" s="134" customFormat="1" x14ac:dyDescent="0.2">
      <c r="L219" s="135"/>
      <c r="M219" s="135"/>
      <c r="N219" s="135"/>
      <c r="O219" s="135"/>
      <c r="P219" s="135"/>
      <c r="Q219" s="135"/>
      <c r="R219" s="135"/>
      <c r="S219" s="135"/>
      <c r="T219" s="135"/>
      <c r="U219" s="135"/>
    </row>
    <row r="220" spans="12:21" s="134" customFormat="1" x14ac:dyDescent="0.2">
      <c r="L220" s="135"/>
      <c r="M220" s="135"/>
      <c r="N220" s="135"/>
      <c r="O220" s="135"/>
      <c r="P220" s="135"/>
      <c r="Q220" s="135"/>
      <c r="R220" s="135"/>
      <c r="S220" s="135"/>
      <c r="T220" s="135"/>
      <c r="U220" s="135"/>
    </row>
    <row r="221" spans="12:21" s="134" customFormat="1" x14ac:dyDescent="0.2">
      <c r="L221" s="135"/>
      <c r="M221" s="135"/>
      <c r="N221" s="135"/>
      <c r="O221" s="135"/>
      <c r="P221" s="135"/>
      <c r="Q221" s="135"/>
      <c r="R221" s="135"/>
      <c r="S221" s="135"/>
      <c r="T221" s="135"/>
      <c r="U221" s="135"/>
    </row>
    <row r="222" spans="12:21" s="134" customFormat="1" x14ac:dyDescent="0.2">
      <c r="L222" s="135"/>
      <c r="M222" s="135"/>
      <c r="N222" s="135"/>
      <c r="O222" s="135"/>
      <c r="P222" s="135"/>
      <c r="Q222" s="135"/>
      <c r="R222" s="135"/>
      <c r="S222" s="135"/>
      <c r="T222" s="135"/>
      <c r="U222" s="135"/>
    </row>
    <row r="223" spans="12:21" s="134" customFormat="1" x14ac:dyDescent="0.2">
      <c r="L223" s="135"/>
      <c r="M223" s="135"/>
      <c r="N223" s="135"/>
      <c r="O223" s="135"/>
      <c r="P223" s="135"/>
      <c r="Q223" s="135"/>
      <c r="R223" s="135"/>
      <c r="S223" s="135"/>
      <c r="T223" s="135"/>
      <c r="U223" s="135"/>
    </row>
    <row r="224" spans="12:21" s="134" customFormat="1" x14ac:dyDescent="0.2">
      <c r="L224" s="135"/>
      <c r="M224" s="135"/>
      <c r="N224" s="135"/>
      <c r="O224" s="135"/>
      <c r="P224" s="135"/>
      <c r="Q224" s="135"/>
      <c r="R224" s="135"/>
      <c r="S224" s="135"/>
      <c r="T224" s="135"/>
      <c r="U224" s="135"/>
    </row>
    <row r="225" spans="12:21" s="134" customFormat="1" x14ac:dyDescent="0.2">
      <c r="L225" s="135"/>
      <c r="M225" s="135"/>
      <c r="N225" s="135"/>
      <c r="O225" s="135"/>
      <c r="P225" s="135"/>
      <c r="Q225" s="135"/>
      <c r="R225" s="135"/>
      <c r="S225" s="135"/>
      <c r="T225" s="135"/>
      <c r="U225" s="135"/>
    </row>
    <row r="226" spans="12:21" s="134" customFormat="1" x14ac:dyDescent="0.2">
      <c r="L226" s="135"/>
      <c r="M226" s="135"/>
      <c r="N226" s="135"/>
      <c r="O226" s="135"/>
      <c r="P226" s="135"/>
      <c r="Q226" s="135"/>
      <c r="R226" s="135"/>
      <c r="S226" s="135"/>
      <c r="T226" s="135"/>
      <c r="U226" s="135"/>
    </row>
    <row r="227" spans="12:21" s="134" customFormat="1" x14ac:dyDescent="0.2">
      <c r="L227" s="135"/>
      <c r="M227" s="135"/>
      <c r="N227" s="135"/>
      <c r="O227" s="135"/>
      <c r="P227" s="135"/>
      <c r="Q227" s="135"/>
      <c r="R227" s="135"/>
      <c r="S227" s="135"/>
      <c r="T227" s="135"/>
      <c r="U227" s="135"/>
    </row>
    <row r="228" spans="12:21" s="134" customFormat="1" x14ac:dyDescent="0.2">
      <c r="L228" s="135"/>
      <c r="M228" s="135"/>
      <c r="N228" s="135"/>
      <c r="O228" s="135"/>
      <c r="P228" s="135"/>
      <c r="Q228" s="135"/>
      <c r="R228" s="135"/>
      <c r="S228" s="135"/>
      <c r="T228" s="135"/>
      <c r="U228" s="135"/>
    </row>
    <row r="229" spans="12:21" s="134" customFormat="1" x14ac:dyDescent="0.2">
      <c r="L229" s="135"/>
      <c r="M229" s="135"/>
      <c r="N229" s="135"/>
      <c r="O229" s="135"/>
      <c r="P229" s="135"/>
      <c r="Q229" s="135"/>
      <c r="R229" s="135"/>
      <c r="S229" s="135"/>
      <c r="T229" s="135"/>
      <c r="U229" s="135"/>
    </row>
    <row r="230" spans="12:21" s="134" customFormat="1" x14ac:dyDescent="0.2">
      <c r="L230" s="135"/>
      <c r="M230" s="135"/>
      <c r="N230" s="135"/>
      <c r="O230" s="135"/>
      <c r="P230" s="135"/>
      <c r="Q230" s="135"/>
      <c r="R230" s="135"/>
      <c r="S230" s="135"/>
      <c r="T230" s="135"/>
      <c r="U230" s="135"/>
    </row>
    <row r="231" spans="12:21" s="134" customFormat="1" x14ac:dyDescent="0.2">
      <c r="L231" s="135"/>
      <c r="M231" s="135"/>
      <c r="N231" s="135"/>
      <c r="O231" s="135"/>
      <c r="P231" s="135"/>
      <c r="Q231" s="135"/>
      <c r="R231" s="135"/>
      <c r="S231" s="135"/>
      <c r="T231" s="135"/>
      <c r="U231" s="135"/>
    </row>
    <row r="232" spans="12:21" s="134" customFormat="1" x14ac:dyDescent="0.2">
      <c r="L232" s="135"/>
      <c r="M232" s="135"/>
      <c r="N232" s="135"/>
      <c r="O232" s="135"/>
      <c r="P232" s="135"/>
      <c r="Q232" s="135"/>
      <c r="R232" s="135"/>
      <c r="S232" s="135"/>
      <c r="T232" s="135"/>
      <c r="U232" s="135"/>
    </row>
    <row r="233" spans="12:21" s="134" customFormat="1" x14ac:dyDescent="0.2">
      <c r="L233" s="135"/>
      <c r="M233" s="135"/>
      <c r="N233" s="135"/>
      <c r="O233" s="135"/>
      <c r="P233" s="135"/>
      <c r="Q233" s="135"/>
      <c r="R233" s="135"/>
      <c r="S233" s="135"/>
      <c r="T233" s="135"/>
      <c r="U233" s="135"/>
    </row>
    <row r="234" spans="12:21" s="134" customFormat="1" x14ac:dyDescent="0.2">
      <c r="L234" s="135"/>
      <c r="M234" s="135"/>
      <c r="N234" s="135"/>
      <c r="O234" s="135"/>
      <c r="P234" s="135"/>
      <c r="Q234" s="135"/>
      <c r="R234" s="135"/>
      <c r="S234" s="135"/>
      <c r="T234" s="135"/>
      <c r="U234" s="135"/>
    </row>
    <row r="235" spans="12:21" s="134" customFormat="1" x14ac:dyDescent="0.2">
      <c r="L235" s="135"/>
      <c r="M235" s="135"/>
      <c r="N235" s="135"/>
      <c r="O235" s="135"/>
      <c r="P235" s="135"/>
      <c r="Q235" s="135"/>
      <c r="R235" s="135"/>
      <c r="S235" s="135"/>
      <c r="T235" s="135"/>
      <c r="U235" s="135"/>
    </row>
    <row r="236" spans="12:21" s="134" customFormat="1" x14ac:dyDescent="0.2">
      <c r="L236" s="135"/>
      <c r="M236" s="135"/>
      <c r="N236" s="135"/>
      <c r="O236" s="135"/>
      <c r="P236" s="135"/>
      <c r="Q236" s="135"/>
      <c r="R236" s="135"/>
      <c r="S236" s="135"/>
      <c r="T236" s="135"/>
      <c r="U236" s="135"/>
    </row>
    <row r="237" spans="12:21" s="134" customFormat="1" x14ac:dyDescent="0.2">
      <c r="L237" s="135"/>
      <c r="M237" s="135"/>
      <c r="N237" s="135"/>
      <c r="O237" s="135"/>
      <c r="P237" s="135"/>
      <c r="Q237" s="135"/>
      <c r="R237" s="135"/>
      <c r="S237" s="135"/>
      <c r="T237" s="135"/>
      <c r="U237" s="135"/>
    </row>
    <row r="238" spans="12:21" s="134" customFormat="1" x14ac:dyDescent="0.2">
      <c r="L238" s="135"/>
      <c r="M238" s="135"/>
      <c r="N238" s="135"/>
      <c r="O238" s="135"/>
      <c r="P238" s="135"/>
      <c r="Q238" s="135"/>
      <c r="R238" s="135"/>
      <c r="S238" s="135"/>
      <c r="T238" s="135"/>
      <c r="U238" s="135"/>
    </row>
    <row r="239" spans="12:21" s="134" customFormat="1" x14ac:dyDescent="0.2">
      <c r="L239" s="135"/>
      <c r="M239" s="135"/>
      <c r="N239" s="135"/>
      <c r="O239" s="135"/>
      <c r="P239" s="135"/>
      <c r="Q239" s="135"/>
      <c r="R239" s="135"/>
      <c r="S239" s="135"/>
      <c r="T239" s="135"/>
      <c r="U239" s="135"/>
    </row>
    <row r="240" spans="12:21" s="134" customFormat="1" x14ac:dyDescent="0.2">
      <c r="L240" s="135"/>
      <c r="M240" s="135"/>
      <c r="N240" s="135"/>
      <c r="O240" s="135"/>
      <c r="P240" s="135"/>
      <c r="Q240" s="135"/>
      <c r="R240" s="135"/>
      <c r="S240" s="135"/>
      <c r="T240" s="135"/>
      <c r="U240" s="135"/>
    </row>
    <row r="241" spans="12:21" s="134" customFormat="1" x14ac:dyDescent="0.2">
      <c r="L241" s="135"/>
      <c r="M241" s="135"/>
      <c r="N241" s="135"/>
      <c r="O241" s="135"/>
      <c r="P241" s="135"/>
      <c r="Q241" s="135"/>
      <c r="R241" s="135"/>
      <c r="S241" s="135"/>
      <c r="T241" s="135"/>
      <c r="U241" s="135"/>
    </row>
    <row r="242" spans="12:21" s="134" customFormat="1" x14ac:dyDescent="0.2">
      <c r="L242" s="135"/>
      <c r="M242" s="135"/>
      <c r="N242" s="135"/>
      <c r="O242" s="135"/>
      <c r="P242" s="135"/>
      <c r="Q242" s="135"/>
      <c r="R242" s="135"/>
      <c r="S242" s="135"/>
      <c r="T242" s="135"/>
      <c r="U242" s="135"/>
    </row>
    <row r="243" spans="12:21" s="134" customFormat="1" x14ac:dyDescent="0.2">
      <c r="L243" s="135"/>
      <c r="M243" s="135"/>
      <c r="N243" s="135"/>
      <c r="O243" s="135"/>
      <c r="P243" s="135"/>
      <c r="Q243" s="135"/>
      <c r="R243" s="135"/>
      <c r="S243" s="135"/>
      <c r="T243" s="135"/>
      <c r="U243" s="135"/>
    </row>
    <row r="244" spans="12:21" s="134" customFormat="1" x14ac:dyDescent="0.2">
      <c r="L244" s="135"/>
      <c r="M244" s="135"/>
      <c r="N244" s="135"/>
      <c r="O244" s="135"/>
      <c r="P244" s="135"/>
      <c r="Q244" s="135"/>
      <c r="R244" s="135"/>
      <c r="S244" s="135"/>
      <c r="T244" s="135"/>
      <c r="U244" s="135"/>
    </row>
    <row r="245" spans="12:21" s="134" customFormat="1" x14ac:dyDescent="0.2">
      <c r="L245" s="135"/>
      <c r="M245" s="135"/>
      <c r="N245" s="135"/>
      <c r="O245" s="135"/>
      <c r="P245" s="135"/>
      <c r="Q245" s="135"/>
      <c r="R245" s="135"/>
      <c r="S245" s="135"/>
      <c r="T245" s="135"/>
      <c r="U245" s="135"/>
    </row>
    <row r="246" spans="12:21" s="134" customFormat="1" x14ac:dyDescent="0.2">
      <c r="L246" s="135"/>
      <c r="M246" s="135"/>
      <c r="N246" s="135"/>
      <c r="O246" s="135"/>
      <c r="P246" s="135"/>
      <c r="Q246" s="135"/>
      <c r="R246" s="135"/>
      <c r="S246" s="135"/>
      <c r="T246" s="135"/>
      <c r="U246" s="135"/>
    </row>
    <row r="247" spans="12:21" s="134" customFormat="1" x14ac:dyDescent="0.2">
      <c r="L247" s="135"/>
      <c r="M247" s="135"/>
      <c r="N247" s="135"/>
      <c r="O247" s="135"/>
      <c r="P247" s="135"/>
      <c r="Q247" s="135"/>
      <c r="R247" s="135"/>
      <c r="S247" s="135"/>
      <c r="T247" s="135"/>
      <c r="U247" s="135"/>
    </row>
    <row r="248" spans="12:21" s="134" customFormat="1" x14ac:dyDescent="0.2">
      <c r="L248" s="135"/>
      <c r="M248" s="135"/>
      <c r="N248" s="135"/>
      <c r="O248" s="135"/>
      <c r="P248" s="135"/>
      <c r="Q248" s="135"/>
      <c r="R248" s="135"/>
      <c r="S248" s="135"/>
      <c r="T248" s="135"/>
      <c r="U248" s="135"/>
    </row>
    <row r="249" spans="12:21" s="134" customFormat="1" x14ac:dyDescent="0.2">
      <c r="L249" s="135"/>
      <c r="M249" s="135"/>
      <c r="N249" s="135"/>
      <c r="O249" s="135"/>
      <c r="P249" s="135"/>
      <c r="Q249" s="135"/>
      <c r="R249" s="135"/>
      <c r="S249" s="135"/>
      <c r="T249" s="135"/>
      <c r="U249" s="135"/>
    </row>
    <row r="250" spans="12:21" s="134" customFormat="1" x14ac:dyDescent="0.2">
      <c r="L250" s="135"/>
      <c r="M250" s="135"/>
      <c r="N250" s="135"/>
      <c r="O250" s="135"/>
      <c r="P250" s="135"/>
      <c r="Q250" s="135"/>
      <c r="R250" s="135"/>
      <c r="S250" s="135"/>
      <c r="T250" s="135"/>
      <c r="U250" s="135"/>
    </row>
    <row r="251" spans="12:21" s="134" customFormat="1" x14ac:dyDescent="0.2">
      <c r="L251" s="135"/>
      <c r="M251" s="135"/>
      <c r="N251" s="135"/>
      <c r="O251" s="135"/>
      <c r="P251" s="135"/>
      <c r="Q251" s="135"/>
      <c r="R251" s="135"/>
      <c r="S251" s="135"/>
      <c r="T251" s="135"/>
      <c r="U251" s="135"/>
    </row>
    <row r="252" spans="12:21" s="134" customFormat="1" x14ac:dyDescent="0.2">
      <c r="L252" s="135"/>
      <c r="M252" s="135"/>
      <c r="N252" s="135"/>
      <c r="O252" s="135"/>
      <c r="P252" s="135"/>
      <c r="Q252" s="135"/>
      <c r="R252" s="135"/>
      <c r="S252" s="135"/>
      <c r="T252" s="135"/>
      <c r="U252" s="135"/>
    </row>
    <row r="253" spans="12:21" s="134" customFormat="1" x14ac:dyDescent="0.2">
      <c r="L253" s="135"/>
      <c r="M253" s="135"/>
      <c r="N253" s="135"/>
      <c r="O253" s="135"/>
      <c r="P253" s="135"/>
      <c r="Q253" s="135"/>
      <c r="R253" s="135"/>
      <c r="S253" s="135"/>
      <c r="T253" s="135"/>
      <c r="U253" s="135"/>
    </row>
    <row r="254" spans="12:21" s="134" customFormat="1" x14ac:dyDescent="0.2">
      <c r="L254" s="135"/>
      <c r="M254" s="135"/>
      <c r="N254" s="135"/>
      <c r="O254" s="135"/>
      <c r="P254" s="135"/>
      <c r="Q254" s="135"/>
      <c r="R254" s="135"/>
      <c r="S254" s="135"/>
      <c r="T254" s="135"/>
      <c r="U254" s="135"/>
    </row>
    <row r="255" spans="12:21" s="134" customFormat="1" x14ac:dyDescent="0.2">
      <c r="L255" s="135"/>
      <c r="M255" s="135"/>
      <c r="N255" s="135"/>
      <c r="O255" s="135"/>
      <c r="P255" s="135"/>
      <c r="Q255" s="135"/>
      <c r="R255" s="135"/>
      <c r="S255" s="135"/>
      <c r="T255" s="135"/>
      <c r="U255" s="135"/>
    </row>
    <row r="256" spans="12:21" s="134" customFormat="1" x14ac:dyDescent="0.2">
      <c r="L256" s="135"/>
      <c r="M256" s="135"/>
      <c r="N256" s="135"/>
      <c r="O256" s="135"/>
      <c r="P256" s="135"/>
      <c r="Q256" s="135"/>
      <c r="R256" s="135"/>
      <c r="S256" s="135"/>
      <c r="T256" s="135"/>
      <c r="U256" s="135"/>
    </row>
    <row r="257" spans="12:21" s="134" customFormat="1" x14ac:dyDescent="0.2">
      <c r="L257" s="135"/>
      <c r="M257" s="135"/>
      <c r="N257" s="135"/>
      <c r="O257" s="135"/>
      <c r="P257" s="135"/>
      <c r="Q257" s="135"/>
      <c r="R257" s="135"/>
      <c r="S257" s="135"/>
      <c r="T257" s="135"/>
      <c r="U257" s="135"/>
    </row>
    <row r="258" spans="12:21" s="134" customFormat="1" x14ac:dyDescent="0.2">
      <c r="L258" s="135"/>
      <c r="M258" s="135"/>
      <c r="N258" s="135"/>
      <c r="O258" s="135"/>
      <c r="P258" s="135"/>
      <c r="Q258" s="135"/>
      <c r="R258" s="135"/>
      <c r="S258" s="135"/>
      <c r="T258" s="135"/>
      <c r="U258" s="135"/>
    </row>
    <row r="259" spans="12:21" s="134" customFormat="1" x14ac:dyDescent="0.2">
      <c r="L259" s="135"/>
      <c r="M259" s="135"/>
      <c r="N259" s="135"/>
      <c r="O259" s="135"/>
      <c r="P259" s="135"/>
      <c r="Q259" s="135"/>
      <c r="R259" s="135"/>
      <c r="S259" s="135"/>
      <c r="T259" s="135"/>
      <c r="U259" s="135"/>
    </row>
    <row r="260" spans="12:21" s="134" customFormat="1" x14ac:dyDescent="0.2">
      <c r="L260" s="135"/>
      <c r="M260" s="135"/>
      <c r="N260" s="135"/>
      <c r="O260" s="135"/>
      <c r="P260" s="135"/>
      <c r="Q260" s="135"/>
      <c r="R260" s="135"/>
      <c r="S260" s="135"/>
      <c r="T260" s="135"/>
      <c r="U260" s="135"/>
    </row>
    <row r="261" spans="12:21" s="134" customFormat="1" x14ac:dyDescent="0.2">
      <c r="L261" s="135"/>
      <c r="M261" s="135"/>
      <c r="N261" s="135"/>
      <c r="O261" s="135"/>
      <c r="P261" s="135"/>
      <c r="Q261" s="135"/>
      <c r="R261" s="135"/>
      <c r="S261" s="135"/>
      <c r="T261" s="135"/>
      <c r="U261" s="135"/>
    </row>
    <row r="262" spans="12:21" s="134" customFormat="1" x14ac:dyDescent="0.2">
      <c r="L262" s="135"/>
      <c r="M262" s="135"/>
      <c r="N262" s="135"/>
      <c r="O262" s="135"/>
      <c r="P262" s="135"/>
      <c r="Q262" s="135"/>
      <c r="R262" s="135"/>
      <c r="S262" s="135"/>
      <c r="T262" s="135"/>
      <c r="U262" s="135"/>
    </row>
    <row r="263" spans="12:21" s="134" customFormat="1" x14ac:dyDescent="0.2">
      <c r="L263" s="135"/>
      <c r="M263" s="135"/>
      <c r="N263" s="135"/>
      <c r="O263" s="135"/>
      <c r="P263" s="135"/>
      <c r="Q263" s="135"/>
      <c r="R263" s="135"/>
      <c r="S263" s="135"/>
      <c r="T263" s="135"/>
      <c r="U263" s="135"/>
    </row>
    <row r="264" spans="12:21" s="134" customFormat="1" x14ac:dyDescent="0.2">
      <c r="L264" s="135"/>
      <c r="M264" s="135"/>
      <c r="N264" s="135"/>
      <c r="O264" s="135"/>
      <c r="P264" s="135"/>
      <c r="Q264" s="135"/>
      <c r="R264" s="135"/>
      <c r="S264" s="135"/>
      <c r="T264" s="135"/>
      <c r="U264" s="135"/>
    </row>
    <row r="265" spans="12:21" s="134" customFormat="1" x14ac:dyDescent="0.2">
      <c r="L265" s="135"/>
      <c r="M265" s="135"/>
      <c r="N265" s="135"/>
      <c r="O265" s="135"/>
      <c r="P265" s="135"/>
      <c r="Q265" s="135"/>
      <c r="R265" s="135"/>
      <c r="S265" s="135"/>
      <c r="T265" s="135"/>
      <c r="U265" s="135"/>
    </row>
    <row r="266" spans="12:21" s="134" customFormat="1" x14ac:dyDescent="0.2">
      <c r="L266" s="135"/>
      <c r="M266" s="135"/>
      <c r="N266" s="135"/>
      <c r="O266" s="135"/>
      <c r="P266" s="135"/>
      <c r="Q266" s="135"/>
      <c r="R266" s="135"/>
      <c r="S266" s="135"/>
      <c r="T266" s="135"/>
      <c r="U266" s="135"/>
    </row>
    <row r="267" spans="12:21" s="134" customFormat="1" x14ac:dyDescent="0.2">
      <c r="L267" s="135"/>
      <c r="M267" s="135"/>
      <c r="N267" s="135"/>
      <c r="O267" s="135"/>
      <c r="P267" s="135"/>
      <c r="Q267" s="135"/>
      <c r="R267" s="135"/>
      <c r="S267" s="135"/>
      <c r="T267" s="135"/>
      <c r="U267" s="135"/>
    </row>
    <row r="268" spans="12:21" s="134" customFormat="1" x14ac:dyDescent="0.2">
      <c r="L268" s="135"/>
      <c r="M268" s="135"/>
      <c r="N268" s="135"/>
      <c r="O268" s="135"/>
      <c r="P268" s="135"/>
      <c r="Q268" s="135"/>
      <c r="R268" s="135"/>
      <c r="S268" s="135"/>
      <c r="T268" s="135"/>
      <c r="U268" s="135"/>
    </row>
    <row r="269" spans="12:21" s="134" customFormat="1" x14ac:dyDescent="0.2">
      <c r="L269" s="135"/>
      <c r="M269" s="135"/>
      <c r="N269" s="135"/>
      <c r="O269" s="135"/>
      <c r="P269" s="135"/>
      <c r="Q269" s="135"/>
      <c r="R269" s="135"/>
      <c r="S269" s="135"/>
      <c r="T269" s="135"/>
      <c r="U269" s="135"/>
    </row>
    <row r="270" spans="12:21" s="134" customFormat="1" x14ac:dyDescent="0.2">
      <c r="L270" s="135"/>
      <c r="M270" s="135"/>
      <c r="N270" s="135"/>
      <c r="O270" s="135"/>
      <c r="P270" s="135"/>
      <c r="Q270" s="135"/>
      <c r="R270" s="135"/>
      <c r="S270" s="135"/>
      <c r="T270" s="135"/>
      <c r="U270" s="135"/>
    </row>
    <row r="271" spans="12:21" s="134" customFormat="1" x14ac:dyDescent="0.2">
      <c r="L271" s="135"/>
      <c r="M271" s="135"/>
      <c r="N271" s="135"/>
      <c r="O271" s="135"/>
      <c r="P271" s="135"/>
      <c r="Q271" s="135"/>
      <c r="R271" s="135"/>
      <c r="S271" s="135"/>
      <c r="T271" s="135"/>
      <c r="U271" s="135"/>
    </row>
    <row r="272" spans="12:21" s="134" customFormat="1" x14ac:dyDescent="0.2">
      <c r="L272" s="135"/>
      <c r="M272" s="135"/>
      <c r="N272" s="135"/>
      <c r="O272" s="135"/>
      <c r="P272" s="135"/>
      <c r="Q272" s="135"/>
      <c r="R272" s="135"/>
      <c r="S272" s="135"/>
      <c r="T272" s="135"/>
      <c r="U272" s="135"/>
    </row>
    <row r="273" spans="12:21" s="134" customFormat="1" x14ac:dyDescent="0.2">
      <c r="L273" s="135"/>
      <c r="M273" s="135"/>
      <c r="N273" s="135"/>
      <c r="O273" s="135"/>
      <c r="P273" s="135"/>
      <c r="Q273" s="135"/>
      <c r="R273" s="135"/>
      <c r="S273" s="135"/>
      <c r="T273" s="135"/>
      <c r="U273" s="135"/>
    </row>
    <row r="274" spans="12:21" s="134" customFormat="1" x14ac:dyDescent="0.2">
      <c r="L274" s="135"/>
      <c r="M274" s="135"/>
      <c r="N274" s="135"/>
      <c r="O274" s="135"/>
      <c r="P274" s="135"/>
      <c r="Q274" s="135"/>
      <c r="R274" s="135"/>
      <c r="S274" s="135"/>
      <c r="T274" s="135"/>
      <c r="U274" s="135"/>
    </row>
    <row r="275" spans="12:21" s="134" customFormat="1" x14ac:dyDescent="0.2">
      <c r="L275" s="135"/>
      <c r="M275" s="135"/>
      <c r="N275" s="135"/>
      <c r="O275" s="135"/>
      <c r="P275" s="135"/>
      <c r="Q275" s="135"/>
      <c r="R275" s="135"/>
      <c r="S275" s="135"/>
      <c r="T275" s="135"/>
      <c r="U275" s="135"/>
    </row>
    <row r="276" spans="12:21" s="134" customFormat="1" x14ac:dyDescent="0.2">
      <c r="L276" s="135"/>
      <c r="M276" s="135"/>
      <c r="N276" s="135"/>
      <c r="O276" s="135"/>
      <c r="P276" s="135"/>
      <c r="Q276" s="135"/>
      <c r="R276" s="135"/>
      <c r="S276" s="135"/>
      <c r="T276" s="135"/>
      <c r="U276" s="135"/>
    </row>
    <row r="277" spans="12:21" s="134" customFormat="1" x14ac:dyDescent="0.2">
      <c r="L277" s="135"/>
      <c r="M277" s="135"/>
      <c r="N277" s="135"/>
      <c r="O277" s="135"/>
      <c r="P277" s="135"/>
      <c r="Q277" s="135"/>
      <c r="R277" s="135"/>
      <c r="S277" s="135"/>
      <c r="T277" s="135"/>
      <c r="U277" s="135"/>
    </row>
    <row r="278" spans="12:21" s="134" customFormat="1" x14ac:dyDescent="0.2">
      <c r="L278" s="135"/>
      <c r="M278" s="135"/>
      <c r="N278" s="135"/>
      <c r="O278" s="135"/>
      <c r="P278" s="135"/>
      <c r="Q278" s="135"/>
      <c r="R278" s="135"/>
      <c r="S278" s="135"/>
      <c r="T278" s="135"/>
      <c r="U278" s="135"/>
    </row>
    <row r="279" spans="12:21" s="134" customFormat="1" x14ac:dyDescent="0.2">
      <c r="L279" s="135"/>
      <c r="M279" s="135"/>
      <c r="N279" s="135"/>
      <c r="O279" s="135"/>
      <c r="P279" s="135"/>
      <c r="Q279" s="135"/>
      <c r="R279" s="135"/>
      <c r="S279" s="135"/>
      <c r="T279" s="135"/>
      <c r="U279" s="135"/>
    </row>
    <row r="280" spans="12:21" s="134" customFormat="1" x14ac:dyDescent="0.2">
      <c r="L280" s="135"/>
      <c r="M280" s="135"/>
      <c r="N280" s="135"/>
      <c r="O280" s="135"/>
      <c r="P280" s="135"/>
      <c r="Q280" s="135"/>
      <c r="R280" s="135"/>
      <c r="S280" s="135"/>
      <c r="T280" s="135"/>
      <c r="U280" s="135"/>
    </row>
    <row r="281" spans="12:21" s="134" customFormat="1" x14ac:dyDescent="0.2">
      <c r="L281" s="135"/>
      <c r="M281" s="135"/>
      <c r="N281" s="135"/>
      <c r="O281" s="135"/>
      <c r="P281" s="135"/>
      <c r="Q281" s="135"/>
      <c r="R281" s="135"/>
      <c r="S281" s="135"/>
      <c r="T281" s="135"/>
      <c r="U281" s="135"/>
    </row>
    <row r="282" spans="12:21" s="134" customFormat="1" x14ac:dyDescent="0.2">
      <c r="L282" s="135"/>
      <c r="M282" s="135"/>
      <c r="N282" s="135"/>
      <c r="O282" s="135"/>
      <c r="P282" s="135"/>
      <c r="Q282" s="135"/>
      <c r="R282" s="135"/>
      <c r="S282" s="135"/>
      <c r="T282" s="135"/>
      <c r="U282" s="135"/>
    </row>
    <row r="283" spans="12:21" s="134" customFormat="1" x14ac:dyDescent="0.2">
      <c r="L283" s="135"/>
      <c r="M283" s="135"/>
      <c r="N283" s="135"/>
      <c r="O283" s="135"/>
      <c r="P283" s="135"/>
      <c r="Q283" s="135"/>
      <c r="R283" s="135"/>
      <c r="S283" s="135"/>
      <c r="T283" s="135"/>
      <c r="U283" s="135"/>
    </row>
    <row r="284" spans="12:21" s="134" customFormat="1" x14ac:dyDescent="0.2">
      <c r="L284" s="135"/>
      <c r="M284" s="135"/>
      <c r="N284" s="135"/>
      <c r="O284" s="135"/>
      <c r="P284" s="135"/>
      <c r="Q284" s="135"/>
      <c r="R284" s="135"/>
      <c r="S284" s="135"/>
      <c r="T284" s="135"/>
      <c r="U284" s="135"/>
    </row>
    <row r="285" spans="12:21" s="134" customFormat="1" x14ac:dyDescent="0.2">
      <c r="L285" s="135"/>
      <c r="M285" s="135"/>
      <c r="N285" s="135"/>
      <c r="O285" s="135"/>
      <c r="P285" s="135"/>
      <c r="Q285" s="135"/>
      <c r="R285" s="135"/>
      <c r="S285" s="135"/>
      <c r="T285" s="135"/>
      <c r="U285" s="135"/>
    </row>
    <row r="286" spans="12:21" s="134" customFormat="1" x14ac:dyDescent="0.2">
      <c r="L286" s="135"/>
      <c r="M286" s="135"/>
      <c r="N286" s="135"/>
      <c r="O286" s="135"/>
      <c r="P286" s="135"/>
      <c r="Q286" s="135"/>
      <c r="R286" s="135"/>
      <c r="S286" s="135"/>
      <c r="T286" s="135"/>
      <c r="U286" s="135"/>
    </row>
    <row r="287" spans="12:21" s="134" customFormat="1" x14ac:dyDescent="0.2">
      <c r="L287" s="135"/>
      <c r="M287" s="135"/>
      <c r="N287" s="135"/>
      <c r="O287" s="135"/>
      <c r="P287" s="135"/>
      <c r="Q287" s="135"/>
      <c r="R287" s="135"/>
      <c r="S287" s="135"/>
      <c r="T287" s="135"/>
      <c r="U287" s="135"/>
    </row>
    <row r="288" spans="12:21" s="134" customFormat="1" x14ac:dyDescent="0.2">
      <c r="L288" s="135"/>
      <c r="M288" s="135"/>
      <c r="N288" s="135"/>
      <c r="O288" s="135"/>
      <c r="P288" s="135"/>
      <c r="Q288" s="135"/>
      <c r="R288" s="135"/>
      <c r="S288" s="135"/>
      <c r="T288" s="135"/>
      <c r="U288" s="135"/>
    </row>
    <row r="289" spans="12:21" s="134" customFormat="1" x14ac:dyDescent="0.2">
      <c r="L289" s="135"/>
      <c r="M289" s="135"/>
      <c r="N289" s="135"/>
      <c r="O289" s="135"/>
      <c r="P289" s="135"/>
      <c r="Q289" s="135"/>
      <c r="R289" s="135"/>
      <c r="S289" s="135"/>
      <c r="T289" s="135"/>
      <c r="U289" s="135"/>
    </row>
    <row r="290" spans="12:21" s="134" customFormat="1" x14ac:dyDescent="0.2">
      <c r="L290" s="135"/>
      <c r="M290" s="135"/>
      <c r="N290" s="135"/>
      <c r="O290" s="135"/>
      <c r="P290" s="135"/>
      <c r="Q290" s="135"/>
      <c r="R290" s="135"/>
      <c r="S290" s="135"/>
      <c r="T290" s="135"/>
      <c r="U290" s="135"/>
    </row>
    <row r="291" spans="12:21" s="134" customFormat="1" x14ac:dyDescent="0.2">
      <c r="L291" s="135"/>
      <c r="M291" s="135"/>
      <c r="N291" s="135"/>
      <c r="O291" s="135"/>
      <c r="P291" s="135"/>
      <c r="Q291" s="135"/>
      <c r="R291" s="135"/>
      <c r="S291" s="135"/>
      <c r="T291" s="135"/>
      <c r="U291" s="135"/>
    </row>
    <row r="292" spans="12:21" s="134" customFormat="1" x14ac:dyDescent="0.2">
      <c r="L292" s="135"/>
      <c r="M292" s="135"/>
      <c r="N292" s="135"/>
      <c r="O292" s="135"/>
      <c r="P292" s="135"/>
      <c r="Q292" s="135"/>
      <c r="R292" s="135"/>
      <c r="S292" s="135"/>
      <c r="T292" s="135"/>
      <c r="U292" s="135"/>
    </row>
    <row r="293" spans="12:21" s="134" customFormat="1" x14ac:dyDescent="0.2">
      <c r="L293" s="135"/>
      <c r="M293" s="135"/>
      <c r="N293" s="135"/>
      <c r="O293" s="135"/>
      <c r="P293" s="135"/>
      <c r="Q293" s="135"/>
      <c r="R293" s="135"/>
      <c r="S293" s="135"/>
      <c r="T293" s="135"/>
      <c r="U293" s="135"/>
    </row>
    <row r="294" spans="12:21" s="134" customFormat="1" x14ac:dyDescent="0.2">
      <c r="L294" s="135"/>
      <c r="M294" s="135"/>
      <c r="N294" s="135"/>
      <c r="O294" s="135"/>
      <c r="P294" s="135"/>
      <c r="Q294" s="135"/>
      <c r="R294" s="135"/>
      <c r="S294" s="135"/>
      <c r="T294" s="135"/>
      <c r="U294" s="135"/>
    </row>
    <row r="295" spans="12:21" s="134" customFormat="1" x14ac:dyDescent="0.2">
      <c r="L295" s="135"/>
      <c r="M295" s="135"/>
      <c r="N295" s="135"/>
      <c r="O295" s="135"/>
      <c r="P295" s="135"/>
      <c r="Q295" s="135"/>
      <c r="R295" s="135"/>
      <c r="S295" s="135"/>
      <c r="T295" s="135"/>
      <c r="U295" s="135"/>
    </row>
    <row r="296" spans="12:21" s="134" customFormat="1" x14ac:dyDescent="0.2">
      <c r="L296" s="135"/>
      <c r="M296" s="135"/>
      <c r="N296" s="135"/>
      <c r="O296" s="135"/>
      <c r="P296" s="135"/>
      <c r="Q296" s="135"/>
      <c r="R296" s="135"/>
      <c r="S296" s="135"/>
      <c r="T296" s="135"/>
      <c r="U296" s="135"/>
    </row>
    <row r="297" spans="12:21" s="134" customFormat="1" x14ac:dyDescent="0.2">
      <c r="L297" s="135"/>
      <c r="M297" s="135"/>
      <c r="N297" s="135"/>
      <c r="O297" s="135"/>
      <c r="P297" s="135"/>
      <c r="Q297" s="135"/>
      <c r="R297" s="135"/>
      <c r="S297" s="135"/>
      <c r="T297" s="135"/>
      <c r="U297" s="135"/>
    </row>
    <row r="298" spans="12:21" s="134" customFormat="1" x14ac:dyDescent="0.2">
      <c r="L298" s="135"/>
      <c r="M298" s="135"/>
      <c r="N298" s="135"/>
      <c r="O298" s="135"/>
      <c r="P298" s="135"/>
      <c r="Q298" s="135"/>
      <c r="R298" s="135"/>
      <c r="S298" s="135"/>
      <c r="T298" s="135"/>
      <c r="U298" s="135"/>
    </row>
    <row r="299" spans="12:21" s="134" customFormat="1" x14ac:dyDescent="0.2">
      <c r="L299" s="135"/>
      <c r="M299" s="135"/>
      <c r="N299" s="135"/>
      <c r="O299" s="135"/>
      <c r="P299" s="135"/>
      <c r="Q299" s="135"/>
      <c r="R299" s="135"/>
      <c r="S299" s="135"/>
      <c r="T299" s="135"/>
      <c r="U299" s="135"/>
    </row>
    <row r="300" spans="12:21" s="134" customFormat="1" x14ac:dyDescent="0.2">
      <c r="L300" s="135"/>
      <c r="M300" s="135"/>
      <c r="N300" s="135"/>
      <c r="O300" s="135"/>
      <c r="P300" s="135"/>
      <c r="Q300" s="135"/>
      <c r="R300" s="135"/>
      <c r="S300" s="135"/>
      <c r="T300" s="135"/>
      <c r="U300" s="135"/>
    </row>
    <row r="301" spans="12:21" s="134" customFormat="1" x14ac:dyDescent="0.2">
      <c r="L301" s="135"/>
      <c r="M301" s="135"/>
      <c r="N301" s="135"/>
      <c r="O301" s="135"/>
      <c r="P301" s="135"/>
      <c r="Q301" s="135"/>
      <c r="R301" s="135"/>
      <c r="S301" s="135"/>
      <c r="T301" s="135"/>
      <c r="U301" s="135"/>
    </row>
    <row r="302" spans="12:21" s="134" customFormat="1" x14ac:dyDescent="0.2">
      <c r="L302" s="135"/>
      <c r="M302" s="135"/>
      <c r="N302" s="135"/>
      <c r="O302" s="135"/>
      <c r="P302" s="135"/>
      <c r="Q302" s="135"/>
      <c r="R302" s="135"/>
      <c r="S302" s="135"/>
      <c r="T302" s="135"/>
      <c r="U302" s="135"/>
    </row>
    <row r="303" spans="12:21" s="134" customFormat="1" x14ac:dyDescent="0.2">
      <c r="L303" s="135"/>
      <c r="M303" s="135"/>
      <c r="N303" s="135"/>
      <c r="O303" s="135"/>
      <c r="P303" s="135"/>
      <c r="Q303" s="135"/>
      <c r="R303" s="135"/>
      <c r="S303" s="135"/>
      <c r="T303" s="135"/>
      <c r="U303" s="135"/>
    </row>
    <row r="304" spans="12:21" s="134" customFormat="1" x14ac:dyDescent="0.2">
      <c r="L304" s="135"/>
      <c r="M304" s="135"/>
      <c r="N304" s="135"/>
      <c r="O304" s="135"/>
      <c r="P304" s="135"/>
      <c r="Q304" s="135"/>
      <c r="R304" s="135"/>
      <c r="S304" s="135"/>
      <c r="T304" s="135"/>
      <c r="U304" s="135"/>
    </row>
    <row r="305" spans="12:21" s="134" customFormat="1" x14ac:dyDescent="0.2">
      <c r="L305" s="135"/>
      <c r="M305" s="135"/>
      <c r="N305" s="135"/>
      <c r="O305" s="135"/>
      <c r="P305" s="135"/>
      <c r="Q305" s="135"/>
      <c r="R305" s="135"/>
      <c r="S305" s="135"/>
      <c r="T305" s="135"/>
      <c r="U305" s="135"/>
    </row>
    <row r="306" spans="12:21" s="134" customFormat="1" x14ac:dyDescent="0.2">
      <c r="L306" s="135"/>
      <c r="M306" s="135"/>
      <c r="N306" s="135"/>
      <c r="O306" s="135"/>
      <c r="P306" s="135"/>
      <c r="Q306" s="135"/>
      <c r="R306" s="135"/>
      <c r="S306" s="135"/>
      <c r="T306" s="135"/>
      <c r="U306" s="135"/>
    </row>
    <row r="307" spans="12:21" s="134" customFormat="1" x14ac:dyDescent="0.2">
      <c r="L307" s="135"/>
      <c r="M307" s="135"/>
      <c r="N307" s="135"/>
      <c r="O307" s="135"/>
      <c r="P307" s="135"/>
      <c r="Q307" s="135"/>
      <c r="R307" s="135"/>
      <c r="S307" s="135"/>
      <c r="T307" s="135"/>
      <c r="U307" s="135"/>
    </row>
    <row r="308" spans="12:21" s="134" customFormat="1" x14ac:dyDescent="0.2">
      <c r="L308" s="135"/>
      <c r="M308" s="135"/>
      <c r="N308" s="135"/>
      <c r="O308" s="135"/>
      <c r="P308" s="135"/>
      <c r="Q308" s="135"/>
      <c r="R308" s="135"/>
      <c r="S308" s="135"/>
      <c r="T308" s="135"/>
      <c r="U308" s="135"/>
    </row>
    <row r="309" spans="12:21" s="134" customFormat="1" x14ac:dyDescent="0.2">
      <c r="L309" s="135"/>
      <c r="M309" s="135"/>
      <c r="N309" s="135"/>
      <c r="O309" s="135"/>
      <c r="P309" s="135"/>
      <c r="Q309" s="135"/>
      <c r="R309" s="135"/>
      <c r="S309" s="135"/>
      <c r="T309" s="135"/>
      <c r="U309" s="135"/>
    </row>
    <row r="310" spans="12:21" s="134" customFormat="1" x14ac:dyDescent="0.2">
      <c r="L310" s="135"/>
      <c r="M310" s="135"/>
      <c r="N310" s="135"/>
      <c r="O310" s="135"/>
      <c r="P310" s="135"/>
      <c r="Q310" s="135"/>
      <c r="R310" s="135"/>
      <c r="S310" s="135"/>
      <c r="T310" s="135"/>
      <c r="U310" s="135"/>
    </row>
    <row r="311" spans="12:21" s="134" customFormat="1" x14ac:dyDescent="0.2">
      <c r="L311" s="135"/>
      <c r="M311" s="135"/>
      <c r="N311" s="135"/>
      <c r="O311" s="135"/>
      <c r="P311" s="135"/>
      <c r="Q311" s="135"/>
      <c r="R311" s="135"/>
      <c r="S311" s="135"/>
      <c r="T311" s="135"/>
      <c r="U311" s="135"/>
    </row>
    <row r="312" spans="12:21" s="134" customFormat="1" x14ac:dyDescent="0.2">
      <c r="L312" s="135"/>
      <c r="M312" s="135"/>
      <c r="N312" s="135"/>
      <c r="O312" s="135"/>
      <c r="P312" s="135"/>
      <c r="Q312" s="135"/>
      <c r="R312" s="135"/>
      <c r="S312" s="135"/>
      <c r="T312" s="135"/>
      <c r="U312" s="135"/>
    </row>
    <row r="313" spans="12:21" s="134" customFormat="1" x14ac:dyDescent="0.2">
      <c r="L313" s="135"/>
      <c r="M313" s="135"/>
      <c r="N313" s="135"/>
      <c r="O313" s="135"/>
      <c r="P313" s="135"/>
      <c r="Q313" s="135"/>
      <c r="R313" s="135"/>
      <c r="S313" s="135"/>
      <c r="T313" s="135"/>
      <c r="U313" s="135"/>
    </row>
    <row r="314" spans="12:21" s="134" customFormat="1" x14ac:dyDescent="0.2">
      <c r="L314" s="135"/>
      <c r="M314" s="135"/>
      <c r="N314" s="135"/>
      <c r="O314" s="135"/>
      <c r="P314" s="135"/>
      <c r="Q314" s="135"/>
      <c r="R314" s="135"/>
      <c r="S314" s="135"/>
      <c r="T314" s="135"/>
      <c r="U314" s="135"/>
    </row>
    <row r="315" spans="12:21" s="134" customFormat="1" x14ac:dyDescent="0.2">
      <c r="L315" s="135"/>
      <c r="M315" s="135"/>
      <c r="N315" s="135"/>
      <c r="O315" s="135"/>
      <c r="P315" s="135"/>
      <c r="Q315" s="135"/>
      <c r="R315" s="135"/>
      <c r="S315" s="135"/>
      <c r="T315" s="135"/>
      <c r="U315" s="135"/>
    </row>
    <row r="316" spans="12:21" s="134" customFormat="1" x14ac:dyDescent="0.2">
      <c r="L316" s="135"/>
      <c r="M316" s="135"/>
      <c r="N316" s="135"/>
      <c r="O316" s="135"/>
      <c r="P316" s="135"/>
      <c r="Q316" s="135"/>
      <c r="R316" s="135"/>
      <c r="S316" s="135"/>
      <c r="T316" s="135"/>
      <c r="U316" s="135"/>
    </row>
    <row r="317" spans="12:21" s="134" customFormat="1" x14ac:dyDescent="0.2">
      <c r="L317" s="135"/>
      <c r="M317" s="135"/>
      <c r="N317" s="135"/>
      <c r="O317" s="135"/>
      <c r="P317" s="135"/>
      <c r="Q317" s="135"/>
      <c r="R317" s="135"/>
      <c r="S317" s="135"/>
      <c r="T317" s="135"/>
      <c r="U317" s="135"/>
    </row>
    <row r="318" spans="12:21" s="134" customFormat="1" x14ac:dyDescent="0.2">
      <c r="L318" s="135"/>
      <c r="M318" s="135"/>
      <c r="N318" s="135"/>
      <c r="O318" s="135"/>
      <c r="P318" s="135"/>
      <c r="Q318" s="135"/>
      <c r="R318" s="135"/>
      <c r="S318" s="135"/>
      <c r="T318" s="135"/>
      <c r="U318" s="135"/>
    </row>
    <row r="319" spans="12:21" s="134" customFormat="1" x14ac:dyDescent="0.2">
      <c r="L319" s="135"/>
      <c r="M319" s="135"/>
      <c r="N319" s="135"/>
      <c r="O319" s="135"/>
      <c r="P319" s="135"/>
      <c r="Q319" s="135"/>
      <c r="R319" s="135"/>
      <c r="S319" s="135"/>
      <c r="T319" s="135"/>
      <c r="U319" s="135"/>
    </row>
    <row r="320" spans="12:21" s="134" customFormat="1" x14ac:dyDescent="0.2">
      <c r="L320" s="135"/>
      <c r="M320" s="135"/>
      <c r="N320" s="135"/>
      <c r="O320" s="135"/>
      <c r="P320" s="135"/>
      <c r="Q320" s="135"/>
      <c r="R320" s="135"/>
      <c r="S320" s="135"/>
      <c r="T320" s="135"/>
      <c r="U320" s="135"/>
    </row>
    <row r="321" spans="12:21" s="134" customFormat="1" x14ac:dyDescent="0.2">
      <c r="L321" s="135"/>
      <c r="M321" s="135"/>
      <c r="N321" s="135"/>
      <c r="O321" s="135"/>
      <c r="P321" s="135"/>
      <c r="Q321" s="135"/>
      <c r="R321" s="135"/>
      <c r="S321" s="135"/>
      <c r="T321" s="135"/>
      <c r="U321" s="135"/>
    </row>
    <row r="322" spans="12:21" s="134" customFormat="1" x14ac:dyDescent="0.2">
      <c r="L322" s="135"/>
      <c r="M322" s="135"/>
      <c r="N322" s="135"/>
      <c r="O322" s="135"/>
      <c r="P322" s="135"/>
      <c r="Q322" s="135"/>
      <c r="R322" s="135"/>
      <c r="S322" s="135"/>
      <c r="T322" s="135"/>
      <c r="U322" s="135"/>
    </row>
    <row r="323" spans="12:21" s="134" customFormat="1" x14ac:dyDescent="0.2">
      <c r="L323" s="135"/>
      <c r="M323" s="135"/>
      <c r="N323" s="135"/>
      <c r="O323" s="135"/>
      <c r="P323" s="135"/>
      <c r="Q323" s="135"/>
      <c r="R323" s="135"/>
      <c r="S323" s="135"/>
      <c r="T323" s="135"/>
      <c r="U323" s="135"/>
    </row>
    <row r="324" spans="12:21" s="134" customFormat="1" x14ac:dyDescent="0.2">
      <c r="L324" s="135"/>
      <c r="M324" s="135"/>
      <c r="N324" s="135"/>
      <c r="O324" s="135"/>
      <c r="P324" s="135"/>
      <c r="Q324" s="135"/>
      <c r="R324" s="135"/>
      <c r="S324" s="135"/>
      <c r="T324" s="135"/>
      <c r="U324" s="135"/>
    </row>
    <row r="325" spans="12:21" s="134" customFormat="1" x14ac:dyDescent="0.2">
      <c r="L325" s="135"/>
      <c r="M325" s="135"/>
      <c r="N325" s="135"/>
      <c r="O325" s="135"/>
      <c r="P325" s="135"/>
      <c r="Q325" s="135"/>
      <c r="R325" s="135"/>
      <c r="S325" s="135"/>
      <c r="T325" s="135"/>
      <c r="U325" s="135"/>
    </row>
    <row r="326" spans="12:21" s="134" customFormat="1" x14ac:dyDescent="0.2">
      <c r="L326" s="135"/>
      <c r="M326" s="135"/>
      <c r="N326" s="135"/>
      <c r="O326" s="135"/>
      <c r="P326" s="135"/>
      <c r="Q326" s="135"/>
      <c r="R326" s="135"/>
      <c r="S326" s="135"/>
      <c r="T326" s="135"/>
      <c r="U326" s="135"/>
    </row>
    <row r="327" spans="12:21" s="134" customFormat="1" x14ac:dyDescent="0.2">
      <c r="L327" s="135"/>
      <c r="M327" s="135"/>
      <c r="N327" s="135"/>
      <c r="O327" s="135"/>
      <c r="P327" s="135"/>
      <c r="Q327" s="135"/>
      <c r="R327" s="135"/>
      <c r="S327" s="135"/>
      <c r="T327" s="135"/>
      <c r="U327" s="135"/>
    </row>
    <row r="328" spans="12:21" s="134" customFormat="1" x14ac:dyDescent="0.2">
      <c r="L328" s="135"/>
      <c r="M328" s="135"/>
      <c r="N328" s="135"/>
      <c r="O328" s="135"/>
      <c r="P328" s="135"/>
      <c r="Q328" s="135"/>
      <c r="R328" s="135"/>
      <c r="S328" s="135"/>
      <c r="T328" s="135"/>
      <c r="U328" s="135"/>
    </row>
    <row r="329" spans="12:21" s="134" customFormat="1" x14ac:dyDescent="0.2">
      <c r="L329" s="135"/>
      <c r="M329" s="135"/>
      <c r="N329" s="135"/>
      <c r="O329" s="135"/>
      <c r="P329" s="135"/>
      <c r="Q329" s="135"/>
      <c r="R329" s="135"/>
      <c r="S329" s="135"/>
      <c r="T329" s="135"/>
      <c r="U329" s="135"/>
    </row>
    <row r="330" spans="12:21" s="134" customFormat="1" x14ac:dyDescent="0.2">
      <c r="L330" s="135"/>
      <c r="M330" s="135"/>
      <c r="N330" s="135"/>
      <c r="O330" s="135"/>
      <c r="P330" s="135"/>
      <c r="Q330" s="135"/>
      <c r="R330" s="135"/>
      <c r="S330" s="135"/>
      <c r="T330" s="135"/>
      <c r="U330" s="135"/>
    </row>
    <row r="331" spans="12:21" s="134" customFormat="1" x14ac:dyDescent="0.2">
      <c r="L331" s="135"/>
      <c r="M331" s="135"/>
      <c r="N331" s="135"/>
      <c r="O331" s="135"/>
      <c r="P331" s="135"/>
      <c r="Q331" s="135"/>
      <c r="R331" s="135"/>
      <c r="S331" s="135"/>
      <c r="T331" s="135"/>
      <c r="U331" s="135"/>
    </row>
    <row r="332" spans="12:21" s="134" customFormat="1" x14ac:dyDescent="0.2">
      <c r="L332" s="135"/>
      <c r="M332" s="135"/>
      <c r="N332" s="135"/>
      <c r="O332" s="135"/>
      <c r="P332" s="135"/>
      <c r="Q332" s="135"/>
      <c r="R332" s="135"/>
      <c r="S332" s="135"/>
      <c r="T332" s="135"/>
      <c r="U332" s="135"/>
    </row>
    <row r="333" spans="12:21" s="134" customFormat="1" x14ac:dyDescent="0.2">
      <c r="L333" s="135"/>
      <c r="M333" s="135"/>
      <c r="N333" s="135"/>
      <c r="O333" s="135"/>
      <c r="P333" s="135"/>
      <c r="Q333" s="135"/>
      <c r="R333" s="135"/>
      <c r="S333" s="135"/>
      <c r="T333" s="135"/>
      <c r="U333" s="135"/>
    </row>
    <row r="334" spans="12:21" s="134" customFormat="1" x14ac:dyDescent="0.2">
      <c r="L334" s="135"/>
      <c r="M334" s="135"/>
      <c r="N334" s="135"/>
      <c r="O334" s="135"/>
      <c r="P334" s="135"/>
      <c r="Q334" s="135"/>
      <c r="R334" s="135"/>
      <c r="S334" s="135"/>
      <c r="T334" s="135"/>
      <c r="U334" s="135"/>
    </row>
    <row r="335" spans="12:21" s="134" customFormat="1" x14ac:dyDescent="0.2">
      <c r="L335" s="135"/>
      <c r="M335" s="135"/>
      <c r="N335" s="135"/>
      <c r="O335" s="135"/>
      <c r="P335" s="135"/>
      <c r="Q335" s="135"/>
      <c r="R335" s="135"/>
      <c r="S335" s="135"/>
      <c r="T335" s="135"/>
      <c r="U335" s="135"/>
    </row>
    <row r="336" spans="12:21" s="134" customFormat="1" x14ac:dyDescent="0.2">
      <c r="L336" s="135"/>
      <c r="M336" s="135"/>
      <c r="N336" s="135"/>
      <c r="O336" s="135"/>
      <c r="P336" s="135"/>
      <c r="Q336" s="135"/>
      <c r="R336" s="135"/>
      <c r="S336" s="135"/>
      <c r="T336" s="135"/>
      <c r="U336" s="135"/>
    </row>
    <row r="337" spans="12:21" s="134" customFormat="1" x14ac:dyDescent="0.2">
      <c r="L337" s="135"/>
      <c r="M337" s="135"/>
      <c r="N337" s="135"/>
      <c r="O337" s="135"/>
      <c r="P337" s="135"/>
      <c r="Q337" s="135"/>
      <c r="R337" s="135"/>
      <c r="S337" s="135"/>
      <c r="T337" s="135"/>
      <c r="U337" s="135"/>
    </row>
    <row r="338" spans="12:21" s="134" customFormat="1" x14ac:dyDescent="0.2">
      <c r="L338" s="135"/>
      <c r="M338" s="135"/>
      <c r="N338" s="135"/>
      <c r="O338" s="135"/>
      <c r="P338" s="135"/>
      <c r="Q338" s="135"/>
      <c r="R338" s="135"/>
      <c r="S338" s="135"/>
      <c r="T338" s="135"/>
      <c r="U338" s="135"/>
    </row>
    <row r="339" spans="12:21" s="134" customFormat="1" x14ac:dyDescent="0.2">
      <c r="L339" s="135"/>
      <c r="M339" s="135"/>
      <c r="N339" s="135"/>
      <c r="O339" s="135"/>
      <c r="P339" s="135"/>
      <c r="Q339" s="135"/>
      <c r="R339" s="135"/>
      <c r="S339" s="135"/>
      <c r="T339" s="135"/>
      <c r="U339" s="135"/>
    </row>
    <row r="340" spans="12:21" s="134" customFormat="1" x14ac:dyDescent="0.2">
      <c r="L340" s="135"/>
      <c r="M340" s="135"/>
      <c r="N340" s="135"/>
      <c r="O340" s="135"/>
      <c r="P340" s="135"/>
      <c r="Q340" s="135"/>
      <c r="R340" s="135"/>
      <c r="S340" s="135"/>
      <c r="T340" s="135"/>
      <c r="U340" s="135"/>
    </row>
    <row r="341" spans="12:21" s="134" customFormat="1" x14ac:dyDescent="0.2">
      <c r="L341" s="135"/>
      <c r="M341" s="135"/>
      <c r="N341" s="135"/>
      <c r="O341" s="135"/>
      <c r="P341" s="135"/>
      <c r="Q341" s="135"/>
      <c r="R341" s="135"/>
      <c r="S341" s="135"/>
      <c r="T341" s="135"/>
      <c r="U341" s="135"/>
    </row>
    <row r="342" spans="12:21" s="134" customFormat="1" x14ac:dyDescent="0.2">
      <c r="L342" s="135"/>
      <c r="M342" s="135"/>
      <c r="N342" s="135"/>
      <c r="O342" s="135"/>
      <c r="P342" s="135"/>
      <c r="Q342" s="135"/>
      <c r="R342" s="135"/>
      <c r="S342" s="135"/>
      <c r="T342" s="135"/>
      <c r="U342" s="135"/>
    </row>
    <row r="343" spans="12:21" s="134" customFormat="1" x14ac:dyDescent="0.2">
      <c r="L343" s="135"/>
      <c r="M343" s="135"/>
      <c r="N343" s="135"/>
      <c r="O343" s="135"/>
      <c r="P343" s="135"/>
      <c r="Q343" s="135"/>
      <c r="R343" s="135"/>
      <c r="S343" s="135"/>
      <c r="T343" s="135"/>
      <c r="U343" s="135"/>
    </row>
    <row r="344" spans="12:21" s="134" customFormat="1" x14ac:dyDescent="0.2">
      <c r="L344" s="135"/>
      <c r="M344" s="135"/>
      <c r="N344" s="135"/>
      <c r="O344" s="135"/>
      <c r="P344" s="135"/>
      <c r="Q344" s="135"/>
      <c r="R344" s="135"/>
      <c r="S344" s="135"/>
      <c r="T344" s="135"/>
      <c r="U344" s="135"/>
    </row>
    <row r="345" spans="12:21" s="134" customFormat="1" x14ac:dyDescent="0.2">
      <c r="L345" s="135"/>
      <c r="M345" s="135"/>
      <c r="N345" s="135"/>
      <c r="O345" s="135"/>
      <c r="P345" s="135"/>
      <c r="Q345" s="135"/>
      <c r="R345" s="135"/>
      <c r="S345" s="135"/>
      <c r="T345" s="135"/>
      <c r="U345" s="135"/>
    </row>
    <row r="346" spans="12:21" s="134" customFormat="1" x14ac:dyDescent="0.2">
      <c r="L346" s="135"/>
      <c r="M346" s="135"/>
      <c r="N346" s="135"/>
      <c r="O346" s="135"/>
      <c r="P346" s="135"/>
      <c r="Q346" s="135"/>
      <c r="R346" s="135"/>
      <c r="S346" s="135"/>
      <c r="T346" s="135"/>
      <c r="U346" s="135"/>
    </row>
    <row r="347" spans="12:21" s="134" customFormat="1" x14ac:dyDescent="0.2">
      <c r="L347" s="135"/>
      <c r="M347" s="135"/>
      <c r="N347" s="135"/>
      <c r="O347" s="135"/>
      <c r="P347" s="135"/>
      <c r="Q347" s="135"/>
      <c r="R347" s="135"/>
      <c r="S347" s="135"/>
      <c r="T347" s="135"/>
      <c r="U347" s="135"/>
    </row>
    <row r="348" spans="12:21" s="134" customFormat="1" x14ac:dyDescent="0.2">
      <c r="L348" s="135"/>
      <c r="M348" s="135"/>
      <c r="N348" s="135"/>
      <c r="O348" s="135"/>
      <c r="P348" s="135"/>
      <c r="Q348" s="135"/>
      <c r="R348" s="135"/>
      <c r="S348" s="135"/>
      <c r="T348" s="135"/>
      <c r="U348" s="135"/>
    </row>
    <row r="349" spans="12:21" s="134" customFormat="1" x14ac:dyDescent="0.2">
      <c r="L349" s="135"/>
      <c r="M349" s="135"/>
      <c r="N349" s="135"/>
      <c r="O349" s="135"/>
      <c r="P349" s="135"/>
      <c r="Q349" s="135"/>
      <c r="R349" s="135"/>
      <c r="S349" s="135"/>
      <c r="T349" s="135"/>
      <c r="U349" s="135"/>
    </row>
    <row r="350" spans="12:21" s="134" customFormat="1" x14ac:dyDescent="0.2">
      <c r="L350" s="135"/>
      <c r="M350" s="135"/>
      <c r="N350" s="135"/>
      <c r="O350" s="135"/>
      <c r="P350" s="135"/>
      <c r="Q350" s="135"/>
      <c r="R350" s="135"/>
      <c r="S350" s="135"/>
      <c r="T350" s="135"/>
      <c r="U350" s="135"/>
    </row>
    <row r="351" spans="12:21" s="134" customFormat="1" x14ac:dyDescent="0.2">
      <c r="L351" s="135"/>
      <c r="M351" s="135"/>
      <c r="N351" s="135"/>
      <c r="O351" s="135"/>
      <c r="P351" s="135"/>
      <c r="Q351" s="135"/>
      <c r="R351" s="135"/>
      <c r="S351" s="135"/>
      <c r="T351" s="135"/>
      <c r="U351" s="135"/>
    </row>
    <row r="352" spans="12:21" s="134" customFormat="1" x14ac:dyDescent="0.2">
      <c r="L352" s="135"/>
      <c r="M352" s="135"/>
      <c r="N352" s="135"/>
      <c r="O352" s="135"/>
      <c r="P352" s="135"/>
      <c r="Q352" s="135"/>
      <c r="R352" s="135"/>
      <c r="S352" s="135"/>
      <c r="T352" s="135"/>
      <c r="U352" s="135"/>
    </row>
    <row r="353" spans="12:21" s="134" customFormat="1" x14ac:dyDescent="0.2">
      <c r="L353" s="135"/>
      <c r="M353" s="135"/>
      <c r="N353" s="135"/>
      <c r="O353" s="135"/>
      <c r="P353" s="135"/>
      <c r="Q353" s="135"/>
      <c r="R353" s="135"/>
      <c r="S353" s="135"/>
      <c r="T353" s="135"/>
      <c r="U353" s="135"/>
    </row>
    <row r="354" spans="12:21" s="134" customFormat="1" x14ac:dyDescent="0.2">
      <c r="L354" s="135"/>
      <c r="M354" s="135"/>
      <c r="N354" s="135"/>
      <c r="O354" s="135"/>
      <c r="P354" s="135"/>
      <c r="Q354" s="135"/>
      <c r="R354" s="135"/>
      <c r="S354" s="135"/>
      <c r="T354" s="135"/>
      <c r="U354" s="135"/>
    </row>
    <row r="355" spans="12:21" s="134" customFormat="1" x14ac:dyDescent="0.2">
      <c r="L355" s="135"/>
      <c r="M355" s="135"/>
      <c r="N355" s="135"/>
      <c r="O355" s="135"/>
      <c r="P355" s="135"/>
      <c r="Q355" s="135"/>
      <c r="R355" s="135"/>
      <c r="S355" s="135"/>
      <c r="T355" s="135"/>
      <c r="U355" s="135"/>
    </row>
    <row r="356" spans="12:21" s="134" customFormat="1" x14ac:dyDescent="0.2">
      <c r="L356" s="135"/>
      <c r="M356" s="135"/>
      <c r="N356" s="135"/>
      <c r="O356" s="135"/>
      <c r="P356" s="135"/>
      <c r="Q356" s="135"/>
      <c r="R356" s="135"/>
      <c r="S356" s="135"/>
      <c r="T356" s="135"/>
      <c r="U356" s="135"/>
    </row>
    <row r="357" spans="12:21" s="134" customFormat="1" x14ac:dyDescent="0.2">
      <c r="L357" s="135"/>
      <c r="M357" s="135"/>
      <c r="N357" s="135"/>
      <c r="O357" s="135"/>
      <c r="P357" s="135"/>
      <c r="Q357" s="135"/>
      <c r="R357" s="135"/>
      <c r="S357" s="135"/>
      <c r="T357" s="135"/>
      <c r="U357" s="135"/>
    </row>
    <row r="358" spans="12:21" s="134" customFormat="1" x14ac:dyDescent="0.2">
      <c r="L358" s="135"/>
      <c r="M358" s="135"/>
      <c r="N358" s="135"/>
      <c r="O358" s="135"/>
      <c r="P358" s="135"/>
      <c r="Q358" s="135"/>
      <c r="R358" s="135"/>
      <c r="S358" s="135"/>
      <c r="T358" s="135"/>
      <c r="U358" s="135"/>
    </row>
    <row r="359" spans="12:21" s="134" customFormat="1" x14ac:dyDescent="0.2">
      <c r="L359" s="135"/>
      <c r="M359" s="135"/>
      <c r="N359" s="135"/>
      <c r="O359" s="135"/>
      <c r="P359" s="135"/>
      <c r="Q359" s="135"/>
      <c r="R359" s="135"/>
      <c r="S359" s="135"/>
      <c r="T359" s="135"/>
      <c r="U359" s="135"/>
    </row>
    <row r="360" spans="12:21" s="134" customFormat="1" x14ac:dyDescent="0.2">
      <c r="L360" s="135"/>
      <c r="M360" s="135"/>
      <c r="N360" s="135"/>
      <c r="O360" s="135"/>
      <c r="P360" s="135"/>
      <c r="Q360" s="135"/>
      <c r="R360" s="135"/>
      <c r="S360" s="135"/>
      <c r="T360" s="135"/>
      <c r="U360" s="135"/>
    </row>
    <row r="361" spans="12:21" s="134" customFormat="1" x14ac:dyDescent="0.2">
      <c r="L361" s="135"/>
      <c r="M361" s="135"/>
      <c r="N361" s="135"/>
      <c r="O361" s="135"/>
      <c r="P361" s="135"/>
      <c r="Q361" s="135"/>
      <c r="R361" s="135"/>
      <c r="S361" s="135"/>
      <c r="T361" s="135"/>
      <c r="U361" s="135"/>
    </row>
    <row r="362" spans="12:21" s="134" customFormat="1" x14ac:dyDescent="0.2">
      <c r="L362" s="135"/>
      <c r="M362" s="135"/>
      <c r="N362" s="135"/>
      <c r="O362" s="135"/>
      <c r="P362" s="135"/>
      <c r="Q362" s="135"/>
      <c r="R362" s="135"/>
      <c r="S362" s="135"/>
      <c r="T362" s="135"/>
      <c r="U362" s="135"/>
    </row>
    <row r="363" spans="12:21" s="134" customFormat="1" x14ac:dyDescent="0.2">
      <c r="L363" s="135"/>
      <c r="M363" s="135"/>
      <c r="N363" s="135"/>
      <c r="O363" s="135"/>
      <c r="P363" s="135"/>
      <c r="Q363" s="135"/>
      <c r="R363" s="135"/>
      <c r="S363" s="135"/>
      <c r="T363" s="135"/>
      <c r="U363" s="135"/>
    </row>
    <row r="364" spans="12:21" s="134" customFormat="1" x14ac:dyDescent="0.2">
      <c r="L364" s="135"/>
      <c r="M364" s="135"/>
      <c r="N364" s="135"/>
      <c r="O364" s="135"/>
      <c r="P364" s="135"/>
      <c r="Q364" s="135"/>
      <c r="R364" s="135"/>
      <c r="S364" s="135"/>
      <c r="T364" s="135"/>
      <c r="U364" s="135"/>
    </row>
    <row r="365" spans="12:21" s="134" customFormat="1" x14ac:dyDescent="0.2">
      <c r="L365" s="135"/>
      <c r="M365" s="135"/>
      <c r="N365" s="135"/>
      <c r="O365" s="135"/>
      <c r="P365" s="135"/>
      <c r="Q365" s="135"/>
      <c r="R365" s="135"/>
      <c r="S365" s="135"/>
      <c r="T365" s="135"/>
      <c r="U365" s="135"/>
    </row>
    <row r="366" spans="12:21" s="134" customFormat="1" x14ac:dyDescent="0.2">
      <c r="L366" s="135"/>
      <c r="M366" s="135"/>
      <c r="N366" s="135"/>
      <c r="O366" s="135"/>
      <c r="P366" s="135"/>
      <c r="Q366" s="135"/>
      <c r="R366" s="135"/>
      <c r="S366" s="135"/>
      <c r="T366" s="135"/>
      <c r="U366" s="135"/>
    </row>
    <row r="367" spans="12:21" s="134" customFormat="1" x14ac:dyDescent="0.2">
      <c r="L367" s="135"/>
      <c r="M367" s="135"/>
      <c r="N367" s="135"/>
      <c r="O367" s="135"/>
      <c r="P367" s="135"/>
      <c r="Q367" s="135"/>
      <c r="R367" s="135"/>
      <c r="S367" s="135"/>
      <c r="T367" s="135"/>
      <c r="U367" s="135"/>
    </row>
    <row r="368" spans="12:21" s="134" customFormat="1" x14ac:dyDescent="0.2">
      <c r="L368" s="135"/>
      <c r="M368" s="135"/>
      <c r="N368" s="135"/>
      <c r="O368" s="135"/>
      <c r="P368" s="135"/>
      <c r="Q368" s="135"/>
      <c r="R368" s="135"/>
      <c r="S368" s="135"/>
      <c r="T368" s="135"/>
      <c r="U368" s="135"/>
    </row>
    <row r="369" spans="12:21" s="134" customFormat="1" x14ac:dyDescent="0.2">
      <c r="L369" s="135"/>
      <c r="M369" s="135"/>
      <c r="N369" s="135"/>
      <c r="O369" s="135"/>
      <c r="P369" s="135"/>
      <c r="Q369" s="135"/>
      <c r="R369" s="135"/>
      <c r="S369" s="135"/>
      <c r="T369" s="135"/>
      <c r="U369" s="135"/>
    </row>
    <row r="370" spans="12:21" s="134" customFormat="1" x14ac:dyDescent="0.2">
      <c r="L370" s="135"/>
      <c r="M370" s="135"/>
      <c r="N370" s="135"/>
      <c r="O370" s="135"/>
      <c r="P370" s="135"/>
      <c r="Q370" s="135"/>
      <c r="R370" s="135"/>
      <c r="S370" s="135"/>
      <c r="T370" s="135"/>
      <c r="U370" s="135"/>
    </row>
    <row r="371" spans="12:21" s="134" customFormat="1" x14ac:dyDescent="0.2">
      <c r="L371" s="135"/>
      <c r="M371" s="135"/>
      <c r="N371" s="135"/>
      <c r="O371" s="135"/>
      <c r="P371" s="135"/>
      <c r="Q371" s="135"/>
      <c r="R371" s="135"/>
      <c r="S371" s="135"/>
      <c r="T371" s="135"/>
      <c r="U371" s="135"/>
    </row>
    <row r="372" spans="12:21" s="134" customFormat="1" x14ac:dyDescent="0.2">
      <c r="L372" s="135"/>
      <c r="M372" s="135"/>
      <c r="N372" s="135"/>
      <c r="O372" s="135"/>
      <c r="P372" s="135"/>
      <c r="Q372" s="135"/>
      <c r="R372" s="135"/>
      <c r="S372" s="135"/>
      <c r="T372" s="135"/>
      <c r="U372" s="135"/>
    </row>
    <row r="373" spans="12:21" s="134" customFormat="1" x14ac:dyDescent="0.2">
      <c r="L373" s="135"/>
      <c r="M373" s="135"/>
      <c r="N373" s="135"/>
      <c r="O373" s="135"/>
      <c r="P373" s="135"/>
      <c r="Q373" s="135"/>
      <c r="R373" s="135"/>
      <c r="S373" s="135"/>
      <c r="T373" s="135"/>
      <c r="U373" s="135"/>
    </row>
    <row r="374" spans="12:21" s="134" customFormat="1" x14ac:dyDescent="0.2">
      <c r="L374" s="135"/>
      <c r="M374" s="135"/>
      <c r="N374" s="135"/>
      <c r="O374" s="135"/>
      <c r="P374" s="135"/>
      <c r="Q374" s="135"/>
      <c r="R374" s="135"/>
      <c r="S374" s="135"/>
      <c r="T374" s="135"/>
      <c r="U374" s="135"/>
    </row>
    <row r="375" spans="12:21" s="134" customFormat="1" x14ac:dyDescent="0.2">
      <c r="L375" s="135"/>
      <c r="M375" s="135"/>
      <c r="N375" s="135"/>
      <c r="O375" s="135"/>
      <c r="P375" s="135"/>
      <c r="Q375" s="135"/>
      <c r="R375" s="135"/>
      <c r="S375" s="135"/>
      <c r="T375" s="135"/>
      <c r="U375" s="135"/>
    </row>
    <row r="376" spans="12:21" s="134" customFormat="1" x14ac:dyDescent="0.2">
      <c r="L376" s="135"/>
      <c r="M376" s="135"/>
      <c r="N376" s="135"/>
      <c r="O376" s="135"/>
      <c r="P376" s="135"/>
      <c r="Q376" s="135"/>
      <c r="R376" s="135"/>
      <c r="S376" s="135"/>
      <c r="T376" s="135"/>
      <c r="U376" s="135"/>
    </row>
    <row r="377" spans="12:21" s="134" customFormat="1" x14ac:dyDescent="0.2">
      <c r="L377" s="135"/>
      <c r="M377" s="135"/>
      <c r="N377" s="135"/>
      <c r="O377" s="135"/>
      <c r="P377" s="135"/>
      <c r="Q377" s="135"/>
      <c r="R377" s="135"/>
      <c r="S377" s="135"/>
      <c r="T377" s="135"/>
      <c r="U377" s="135"/>
    </row>
    <row r="378" spans="12:21" s="134" customFormat="1" x14ac:dyDescent="0.2">
      <c r="L378" s="135"/>
      <c r="M378" s="135"/>
      <c r="N378" s="135"/>
      <c r="O378" s="135"/>
      <c r="P378" s="135"/>
      <c r="Q378" s="135"/>
      <c r="R378" s="135"/>
      <c r="S378" s="135"/>
      <c r="T378" s="135"/>
      <c r="U378" s="135"/>
    </row>
    <row r="379" spans="12:21" s="134" customFormat="1" x14ac:dyDescent="0.2">
      <c r="L379" s="135"/>
      <c r="M379" s="135"/>
      <c r="N379" s="135"/>
      <c r="O379" s="135"/>
      <c r="P379" s="135"/>
      <c r="Q379" s="135"/>
      <c r="R379" s="135"/>
      <c r="S379" s="135"/>
      <c r="T379" s="135"/>
      <c r="U379" s="135"/>
    </row>
    <row r="380" spans="12:21" s="134" customFormat="1" x14ac:dyDescent="0.2">
      <c r="L380" s="135"/>
      <c r="M380" s="135"/>
      <c r="N380" s="135"/>
      <c r="O380" s="135"/>
      <c r="P380" s="135"/>
      <c r="Q380" s="135"/>
      <c r="R380" s="135"/>
      <c r="S380" s="135"/>
      <c r="T380" s="135"/>
      <c r="U380" s="135"/>
    </row>
    <row r="381" spans="12:21" s="134" customFormat="1" x14ac:dyDescent="0.2">
      <c r="L381" s="135"/>
      <c r="M381" s="135"/>
      <c r="N381" s="135"/>
      <c r="O381" s="135"/>
      <c r="P381" s="135"/>
      <c r="Q381" s="135"/>
      <c r="R381" s="135"/>
      <c r="S381" s="135"/>
      <c r="T381" s="135"/>
      <c r="U381" s="135"/>
    </row>
    <row r="382" spans="12:21" s="134" customFormat="1" x14ac:dyDescent="0.2">
      <c r="L382" s="135"/>
      <c r="M382" s="135"/>
      <c r="N382" s="135"/>
      <c r="O382" s="135"/>
      <c r="P382" s="135"/>
      <c r="Q382" s="135"/>
      <c r="R382" s="135"/>
      <c r="S382" s="135"/>
      <c r="T382" s="135"/>
      <c r="U382" s="135"/>
    </row>
    <row r="383" spans="12:21" s="134" customFormat="1" x14ac:dyDescent="0.2">
      <c r="L383" s="135"/>
      <c r="M383" s="135"/>
      <c r="N383" s="135"/>
      <c r="O383" s="135"/>
      <c r="P383" s="135"/>
      <c r="Q383" s="135"/>
      <c r="R383" s="135"/>
      <c r="S383" s="135"/>
      <c r="T383" s="135"/>
      <c r="U383" s="135"/>
    </row>
    <row r="384" spans="12:21" s="134" customFormat="1" x14ac:dyDescent="0.2">
      <c r="L384" s="135"/>
      <c r="M384" s="135"/>
      <c r="N384" s="135"/>
      <c r="O384" s="135"/>
      <c r="P384" s="135"/>
      <c r="Q384" s="135"/>
      <c r="R384" s="135"/>
      <c r="S384" s="135"/>
      <c r="T384" s="135"/>
      <c r="U384" s="135"/>
    </row>
    <row r="385" spans="12:21" s="134" customFormat="1" x14ac:dyDescent="0.2">
      <c r="L385" s="135"/>
      <c r="M385" s="135"/>
      <c r="N385" s="135"/>
      <c r="O385" s="135"/>
      <c r="P385" s="135"/>
      <c r="Q385" s="135"/>
      <c r="R385" s="135"/>
      <c r="S385" s="135"/>
      <c r="T385" s="135"/>
      <c r="U385" s="135"/>
    </row>
    <row r="386" spans="12:21" s="134" customFormat="1" x14ac:dyDescent="0.2">
      <c r="L386" s="135"/>
      <c r="M386" s="135"/>
      <c r="N386" s="135"/>
      <c r="O386" s="135"/>
      <c r="P386" s="135"/>
      <c r="Q386" s="135"/>
      <c r="R386" s="135"/>
      <c r="S386" s="135"/>
      <c r="T386" s="135"/>
      <c r="U386" s="135"/>
    </row>
    <row r="387" spans="12:21" s="134" customFormat="1" x14ac:dyDescent="0.2">
      <c r="L387" s="135"/>
      <c r="M387" s="135"/>
      <c r="N387" s="135"/>
      <c r="O387" s="135"/>
      <c r="P387" s="135"/>
      <c r="Q387" s="135"/>
      <c r="R387" s="135"/>
      <c r="S387" s="135"/>
      <c r="T387" s="135"/>
      <c r="U387" s="135"/>
    </row>
    <row r="388" spans="12:21" s="134" customFormat="1" x14ac:dyDescent="0.2">
      <c r="L388" s="135"/>
      <c r="M388" s="135"/>
      <c r="N388" s="135"/>
      <c r="O388" s="135"/>
      <c r="P388" s="135"/>
      <c r="Q388" s="135"/>
      <c r="R388" s="135"/>
      <c r="S388" s="135"/>
      <c r="T388" s="135"/>
      <c r="U388" s="135"/>
    </row>
    <row r="389" spans="12:21" s="134" customFormat="1" x14ac:dyDescent="0.2">
      <c r="L389" s="135"/>
      <c r="M389" s="135"/>
      <c r="N389" s="135"/>
      <c r="O389" s="135"/>
      <c r="P389" s="135"/>
      <c r="Q389" s="135"/>
      <c r="R389" s="135"/>
      <c r="S389" s="135"/>
      <c r="T389" s="135"/>
      <c r="U389" s="135"/>
    </row>
    <row r="390" spans="12:21" s="134" customFormat="1" x14ac:dyDescent="0.2">
      <c r="L390" s="135"/>
      <c r="M390" s="135"/>
      <c r="N390" s="135"/>
      <c r="O390" s="135"/>
      <c r="P390" s="135"/>
      <c r="Q390" s="135"/>
      <c r="R390" s="135"/>
      <c r="S390" s="135"/>
      <c r="T390" s="135"/>
      <c r="U390" s="135"/>
    </row>
    <row r="391" spans="12:21" s="134" customFormat="1" x14ac:dyDescent="0.2">
      <c r="L391" s="135"/>
      <c r="M391" s="135"/>
      <c r="N391" s="135"/>
      <c r="O391" s="135"/>
      <c r="P391" s="135"/>
      <c r="Q391" s="135"/>
      <c r="R391" s="135"/>
      <c r="S391" s="135"/>
      <c r="T391" s="135"/>
      <c r="U391" s="135"/>
    </row>
    <row r="392" spans="12:21" s="134" customFormat="1" x14ac:dyDescent="0.2">
      <c r="L392" s="135"/>
      <c r="M392" s="135"/>
      <c r="N392" s="135"/>
      <c r="O392" s="135"/>
      <c r="P392" s="135"/>
      <c r="Q392" s="135"/>
      <c r="R392" s="135"/>
      <c r="S392" s="135"/>
      <c r="T392" s="135"/>
      <c r="U392" s="135"/>
    </row>
    <row r="393" spans="12:21" s="134" customFormat="1" x14ac:dyDescent="0.2">
      <c r="L393" s="135"/>
      <c r="M393" s="135"/>
      <c r="N393" s="135"/>
      <c r="O393" s="135"/>
      <c r="P393" s="135"/>
      <c r="Q393" s="135"/>
      <c r="R393" s="135"/>
      <c r="S393" s="135"/>
      <c r="T393" s="135"/>
      <c r="U393" s="135"/>
    </row>
    <row r="394" spans="12:21" s="134" customFormat="1" x14ac:dyDescent="0.2">
      <c r="L394" s="135"/>
      <c r="M394" s="135"/>
      <c r="N394" s="135"/>
      <c r="O394" s="135"/>
      <c r="P394" s="135"/>
      <c r="Q394" s="135"/>
      <c r="R394" s="135"/>
      <c r="S394" s="135"/>
      <c r="T394" s="135"/>
      <c r="U394" s="135"/>
    </row>
    <row r="395" spans="12:21" s="134" customFormat="1" x14ac:dyDescent="0.2">
      <c r="L395" s="135"/>
      <c r="M395" s="135"/>
      <c r="N395" s="135"/>
      <c r="O395" s="135"/>
      <c r="P395" s="135"/>
      <c r="Q395" s="135"/>
      <c r="R395" s="135"/>
      <c r="S395" s="135"/>
      <c r="T395" s="135"/>
      <c r="U395" s="135"/>
    </row>
    <row r="396" spans="12:21" s="134" customFormat="1" x14ac:dyDescent="0.2">
      <c r="L396" s="135"/>
      <c r="M396" s="135"/>
      <c r="N396" s="135"/>
      <c r="O396" s="135"/>
      <c r="P396" s="135"/>
      <c r="Q396" s="135"/>
      <c r="R396" s="135"/>
      <c r="S396" s="135"/>
      <c r="T396" s="135"/>
      <c r="U396" s="135"/>
    </row>
    <row r="397" spans="12:21" s="134" customFormat="1" x14ac:dyDescent="0.2">
      <c r="L397" s="135"/>
      <c r="M397" s="135"/>
      <c r="N397" s="135"/>
      <c r="O397" s="135"/>
      <c r="P397" s="135"/>
      <c r="Q397" s="135"/>
      <c r="R397" s="135"/>
      <c r="S397" s="135"/>
      <c r="T397" s="135"/>
      <c r="U397" s="135"/>
    </row>
    <row r="398" spans="12:21" s="134" customFormat="1" x14ac:dyDescent="0.2">
      <c r="L398" s="135"/>
      <c r="M398" s="135"/>
      <c r="N398" s="135"/>
      <c r="O398" s="135"/>
      <c r="P398" s="135"/>
      <c r="Q398" s="135"/>
      <c r="R398" s="135"/>
      <c r="S398" s="135"/>
      <c r="T398" s="135"/>
      <c r="U398" s="135"/>
    </row>
    <row r="399" spans="12:21" s="134" customFormat="1" x14ac:dyDescent="0.2">
      <c r="L399" s="135"/>
      <c r="M399" s="135"/>
      <c r="N399" s="135"/>
      <c r="O399" s="135"/>
      <c r="P399" s="135"/>
      <c r="Q399" s="135"/>
      <c r="R399" s="135"/>
      <c r="S399" s="135"/>
      <c r="T399" s="135"/>
      <c r="U399" s="135"/>
    </row>
    <row r="400" spans="12:21" s="134" customFormat="1" x14ac:dyDescent="0.2">
      <c r="L400" s="135"/>
      <c r="M400" s="135"/>
      <c r="N400" s="135"/>
      <c r="O400" s="135"/>
      <c r="P400" s="135"/>
      <c r="Q400" s="135"/>
      <c r="R400" s="135"/>
      <c r="S400" s="135"/>
      <c r="T400" s="135"/>
      <c r="U400" s="135"/>
    </row>
    <row r="401" spans="12:21" s="134" customFormat="1" x14ac:dyDescent="0.2">
      <c r="L401" s="135"/>
      <c r="M401" s="135"/>
      <c r="N401" s="135"/>
      <c r="O401" s="135"/>
      <c r="P401" s="135"/>
      <c r="Q401" s="135"/>
      <c r="R401" s="135"/>
      <c r="S401" s="135"/>
      <c r="T401" s="135"/>
      <c r="U401" s="135"/>
    </row>
    <row r="402" spans="12:21" s="134" customFormat="1" x14ac:dyDescent="0.2">
      <c r="L402" s="135"/>
      <c r="M402" s="135"/>
      <c r="N402" s="135"/>
      <c r="O402" s="135"/>
      <c r="P402" s="135"/>
      <c r="Q402" s="135"/>
      <c r="R402" s="135"/>
      <c r="S402" s="135"/>
      <c r="T402" s="135"/>
      <c r="U402" s="135"/>
    </row>
    <row r="403" spans="12:21" s="134" customFormat="1" x14ac:dyDescent="0.2">
      <c r="L403" s="135"/>
      <c r="M403" s="135"/>
      <c r="N403" s="135"/>
      <c r="O403" s="135"/>
      <c r="P403" s="135"/>
      <c r="Q403" s="135"/>
      <c r="R403" s="135"/>
      <c r="S403" s="135"/>
      <c r="T403" s="135"/>
      <c r="U403" s="135"/>
    </row>
    <row r="404" spans="12:21" s="134" customFormat="1" x14ac:dyDescent="0.2">
      <c r="L404" s="135"/>
      <c r="M404" s="135"/>
      <c r="N404" s="135"/>
      <c r="O404" s="135"/>
      <c r="P404" s="135"/>
      <c r="Q404" s="135"/>
      <c r="R404" s="135"/>
      <c r="S404" s="135"/>
      <c r="T404" s="135"/>
      <c r="U404" s="135"/>
    </row>
    <row r="405" spans="12:21" s="134" customFormat="1" x14ac:dyDescent="0.2">
      <c r="L405" s="135"/>
      <c r="M405" s="135"/>
      <c r="N405" s="135"/>
      <c r="O405" s="135"/>
      <c r="P405" s="135"/>
      <c r="Q405" s="135"/>
      <c r="R405" s="135"/>
      <c r="S405" s="135"/>
      <c r="T405" s="135"/>
      <c r="U405" s="135"/>
    </row>
    <row r="406" spans="12:21" s="134" customFormat="1" x14ac:dyDescent="0.2">
      <c r="L406" s="135"/>
      <c r="M406" s="135"/>
      <c r="N406" s="135"/>
      <c r="O406" s="135"/>
      <c r="P406" s="135"/>
      <c r="Q406" s="135"/>
      <c r="R406" s="135"/>
      <c r="S406" s="135"/>
      <c r="T406" s="135"/>
      <c r="U406" s="135"/>
    </row>
    <row r="407" spans="12:21" s="134" customFormat="1" x14ac:dyDescent="0.2">
      <c r="L407" s="135"/>
      <c r="M407" s="135"/>
      <c r="N407" s="135"/>
      <c r="O407" s="135"/>
      <c r="P407" s="135"/>
      <c r="Q407" s="135"/>
      <c r="R407" s="135"/>
      <c r="S407" s="135"/>
      <c r="T407" s="135"/>
      <c r="U407" s="135"/>
    </row>
    <row r="408" spans="12:21" s="134" customFormat="1" x14ac:dyDescent="0.2">
      <c r="L408" s="135"/>
      <c r="M408" s="135"/>
      <c r="N408" s="135"/>
      <c r="O408" s="135"/>
      <c r="P408" s="135"/>
      <c r="Q408" s="135"/>
      <c r="R408" s="135"/>
      <c r="S408" s="135"/>
      <c r="T408" s="135"/>
      <c r="U408" s="135"/>
    </row>
    <row r="409" spans="12:21" s="134" customFormat="1" x14ac:dyDescent="0.2">
      <c r="L409" s="135"/>
      <c r="M409" s="135"/>
      <c r="N409" s="135"/>
      <c r="O409" s="135"/>
      <c r="P409" s="135"/>
      <c r="Q409" s="135"/>
      <c r="R409" s="135"/>
      <c r="S409" s="135"/>
      <c r="T409" s="135"/>
      <c r="U409" s="135"/>
    </row>
    <row r="410" spans="12:21" s="134" customFormat="1" x14ac:dyDescent="0.2">
      <c r="L410" s="135"/>
      <c r="M410" s="135"/>
      <c r="N410" s="135"/>
      <c r="O410" s="135"/>
      <c r="P410" s="135"/>
      <c r="Q410" s="135"/>
      <c r="R410" s="135"/>
      <c r="S410" s="135"/>
      <c r="T410" s="135"/>
      <c r="U410" s="135"/>
    </row>
    <row r="411" spans="12:21" s="134" customFormat="1" x14ac:dyDescent="0.2">
      <c r="L411" s="135"/>
      <c r="M411" s="135"/>
      <c r="N411" s="135"/>
      <c r="O411" s="135"/>
      <c r="P411" s="135"/>
      <c r="Q411" s="135"/>
      <c r="R411" s="135"/>
      <c r="S411" s="135"/>
      <c r="T411" s="135"/>
      <c r="U411" s="135"/>
    </row>
    <row r="412" spans="12:21" s="134" customFormat="1" x14ac:dyDescent="0.2">
      <c r="L412" s="135"/>
      <c r="M412" s="135"/>
      <c r="N412" s="135"/>
      <c r="O412" s="135"/>
      <c r="P412" s="135"/>
      <c r="Q412" s="135"/>
      <c r="R412" s="135"/>
      <c r="S412" s="135"/>
      <c r="T412" s="135"/>
      <c r="U412" s="135"/>
    </row>
    <row r="413" spans="12:21" s="134" customFormat="1" x14ac:dyDescent="0.2">
      <c r="L413" s="135"/>
      <c r="M413" s="135"/>
      <c r="N413" s="135"/>
      <c r="O413" s="135"/>
      <c r="P413" s="135"/>
      <c r="Q413" s="135"/>
      <c r="R413" s="135"/>
      <c r="S413" s="135"/>
      <c r="T413" s="135"/>
      <c r="U413" s="135"/>
    </row>
    <row r="414" spans="12:21" s="134" customFormat="1" x14ac:dyDescent="0.2">
      <c r="L414" s="135"/>
      <c r="M414" s="135"/>
      <c r="N414" s="135"/>
      <c r="O414" s="135"/>
      <c r="P414" s="135"/>
      <c r="Q414" s="135"/>
      <c r="R414" s="135"/>
      <c r="S414" s="135"/>
      <c r="T414" s="135"/>
      <c r="U414" s="135"/>
    </row>
    <row r="415" spans="12:21" s="134" customFormat="1" x14ac:dyDescent="0.2">
      <c r="L415" s="135"/>
      <c r="M415" s="135"/>
      <c r="N415" s="135"/>
      <c r="O415" s="135"/>
      <c r="P415" s="135"/>
      <c r="Q415" s="135"/>
      <c r="R415" s="135"/>
      <c r="S415" s="135"/>
      <c r="T415" s="135"/>
      <c r="U415" s="135"/>
    </row>
    <row r="416" spans="12:21" s="134" customFormat="1" x14ac:dyDescent="0.2">
      <c r="L416" s="135"/>
      <c r="M416" s="135"/>
      <c r="N416" s="135"/>
      <c r="O416" s="135"/>
      <c r="P416" s="135"/>
      <c r="Q416" s="135"/>
      <c r="R416" s="135"/>
      <c r="S416" s="135"/>
      <c r="T416" s="135"/>
      <c r="U416" s="135"/>
    </row>
    <row r="417" spans="12:21" s="134" customFormat="1" x14ac:dyDescent="0.2">
      <c r="L417" s="135"/>
      <c r="M417" s="135"/>
      <c r="N417" s="135"/>
      <c r="O417" s="135"/>
      <c r="P417" s="135"/>
      <c r="Q417" s="135"/>
      <c r="R417" s="135"/>
      <c r="S417" s="135"/>
      <c r="T417" s="135"/>
      <c r="U417" s="135"/>
    </row>
    <row r="418" spans="12:21" s="134" customFormat="1" x14ac:dyDescent="0.2">
      <c r="L418" s="135"/>
      <c r="M418" s="135"/>
      <c r="N418" s="135"/>
      <c r="O418" s="135"/>
      <c r="P418" s="135"/>
      <c r="Q418" s="135"/>
      <c r="R418" s="135"/>
      <c r="S418" s="135"/>
      <c r="T418" s="135"/>
      <c r="U418" s="135"/>
    </row>
    <row r="419" spans="12:21" s="134" customFormat="1" x14ac:dyDescent="0.2">
      <c r="L419" s="135"/>
      <c r="M419" s="135"/>
      <c r="N419" s="135"/>
      <c r="O419" s="135"/>
      <c r="P419" s="135"/>
      <c r="Q419" s="135"/>
      <c r="R419" s="135"/>
      <c r="S419" s="135"/>
      <c r="T419" s="135"/>
      <c r="U419" s="135"/>
    </row>
    <row r="420" spans="12:21" s="134" customFormat="1" x14ac:dyDescent="0.2">
      <c r="L420" s="135"/>
      <c r="M420" s="135"/>
      <c r="N420" s="135"/>
      <c r="O420" s="135"/>
      <c r="P420" s="135"/>
      <c r="Q420" s="135"/>
      <c r="R420" s="135"/>
      <c r="S420" s="135"/>
      <c r="T420" s="135"/>
      <c r="U420" s="135"/>
    </row>
    <row r="421" spans="12:21" s="134" customFormat="1" x14ac:dyDescent="0.2">
      <c r="L421" s="135"/>
      <c r="M421" s="135"/>
      <c r="N421" s="135"/>
      <c r="O421" s="135"/>
      <c r="P421" s="135"/>
      <c r="Q421" s="135"/>
      <c r="R421" s="135"/>
      <c r="S421" s="135"/>
      <c r="T421" s="135"/>
      <c r="U421" s="135"/>
    </row>
    <row r="422" spans="12:21" s="134" customFormat="1" x14ac:dyDescent="0.2">
      <c r="L422" s="135"/>
      <c r="M422" s="135"/>
      <c r="N422" s="135"/>
      <c r="O422" s="135"/>
      <c r="P422" s="135"/>
      <c r="Q422" s="135"/>
      <c r="R422" s="135"/>
      <c r="S422" s="135"/>
      <c r="T422" s="135"/>
      <c r="U422" s="135"/>
    </row>
    <row r="423" spans="12:21" s="134" customFormat="1" x14ac:dyDescent="0.2">
      <c r="L423" s="135"/>
      <c r="M423" s="135"/>
      <c r="N423" s="135"/>
      <c r="O423" s="135"/>
      <c r="P423" s="135"/>
      <c r="Q423" s="135"/>
      <c r="R423" s="135"/>
      <c r="S423" s="135"/>
      <c r="T423" s="135"/>
      <c r="U423" s="135"/>
    </row>
    <row r="424" spans="12:21" s="134" customFormat="1" x14ac:dyDescent="0.2">
      <c r="L424" s="135"/>
      <c r="M424" s="135"/>
      <c r="N424" s="135"/>
      <c r="O424" s="135"/>
      <c r="P424" s="135"/>
      <c r="Q424" s="135"/>
      <c r="R424" s="135"/>
      <c r="S424" s="135"/>
      <c r="T424" s="135"/>
      <c r="U424" s="135"/>
    </row>
    <row r="425" spans="12:21" s="134" customFormat="1" x14ac:dyDescent="0.2">
      <c r="L425" s="135"/>
      <c r="M425" s="135"/>
      <c r="N425" s="135"/>
      <c r="O425" s="135"/>
      <c r="P425" s="135"/>
      <c r="Q425" s="135"/>
      <c r="R425" s="135"/>
      <c r="S425" s="135"/>
      <c r="T425" s="135"/>
      <c r="U425" s="135"/>
    </row>
    <row r="426" spans="12:21" s="134" customFormat="1" x14ac:dyDescent="0.2">
      <c r="L426" s="135"/>
      <c r="M426" s="135"/>
      <c r="N426" s="135"/>
      <c r="O426" s="135"/>
      <c r="P426" s="135"/>
      <c r="Q426" s="135"/>
      <c r="R426" s="135"/>
      <c r="S426" s="135"/>
      <c r="T426" s="135"/>
      <c r="U426" s="135"/>
    </row>
    <row r="427" spans="12:21" s="134" customFormat="1" x14ac:dyDescent="0.2">
      <c r="L427" s="135"/>
      <c r="M427" s="135"/>
      <c r="N427" s="135"/>
      <c r="O427" s="135"/>
      <c r="P427" s="135"/>
      <c r="Q427" s="135"/>
      <c r="R427" s="135"/>
      <c r="S427" s="135"/>
      <c r="T427" s="135"/>
      <c r="U427" s="135"/>
    </row>
    <row r="428" spans="12:21" s="134" customFormat="1" x14ac:dyDescent="0.2">
      <c r="L428" s="135"/>
      <c r="M428" s="135"/>
      <c r="N428" s="135"/>
      <c r="O428" s="135"/>
      <c r="P428" s="135"/>
      <c r="Q428" s="135"/>
      <c r="R428" s="135"/>
      <c r="S428" s="135"/>
      <c r="T428" s="135"/>
      <c r="U428" s="135"/>
    </row>
    <row r="429" spans="12:21" s="134" customFormat="1" x14ac:dyDescent="0.2">
      <c r="L429" s="135"/>
      <c r="M429" s="135"/>
      <c r="N429" s="135"/>
      <c r="O429" s="135"/>
      <c r="P429" s="135"/>
      <c r="Q429" s="135"/>
      <c r="R429" s="135"/>
      <c r="S429" s="135"/>
      <c r="T429" s="135"/>
      <c r="U429" s="135"/>
    </row>
    <row r="430" spans="12:21" s="134" customFormat="1" x14ac:dyDescent="0.2">
      <c r="L430" s="135"/>
      <c r="M430" s="135"/>
      <c r="N430" s="135"/>
      <c r="O430" s="135"/>
      <c r="P430" s="135"/>
      <c r="Q430" s="135"/>
      <c r="R430" s="135"/>
      <c r="S430" s="135"/>
      <c r="T430" s="135"/>
      <c r="U430" s="135"/>
    </row>
    <row r="431" spans="12:21" s="134" customFormat="1" x14ac:dyDescent="0.2">
      <c r="L431" s="135"/>
      <c r="M431" s="135"/>
      <c r="N431" s="135"/>
      <c r="O431" s="135"/>
      <c r="P431" s="135"/>
      <c r="Q431" s="135"/>
      <c r="R431" s="135"/>
      <c r="S431" s="135"/>
      <c r="T431" s="135"/>
      <c r="U431" s="135"/>
    </row>
    <row r="432" spans="12:21" s="134" customFormat="1" x14ac:dyDescent="0.2">
      <c r="L432" s="135"/>
      <c r="M432" s="135"/>
      <c r="N432" s="135"/>
      <c r="O432" s="135"/>
      <c r="P432" s="135"/>
      <c r="Q432" s="135"/>
      <c r="R432" s="135"/>
      <c r="S432" s="135"/>
      <c r="T432" s="135"/>
      <c r="U432" s="135"/>
    </row>
    <row r="433" spans="12:21" s="134" customFormat="1" x14ac:dyDescent="0.2">
      <c r="L433" s="135"/>
      <c r="M433" s="135"/>
      <c r="N433" s="135"/>
      <c r="O433" s="135"/>
      <c r="P433" s="135"/>
      <c r="Q433" s="135"/>
      <c r="R433" s="135"/>
      <c r="S433" s="135"/>
      <c r="T433" s="135"/>
      <c r="U433" s="135"/>
    </row>
    <row r="434" spans="12:21" s="134" customFormat="1" x14ac:dyDescent="0.2">
      <c r="L434" s="135"/>
      <c r="M434" s="135"/>
      <c r="N434" s="135"/>
      <c r="O434" s="135"/>
      <c r="P434" s="135"/>
      <c r="Q434" s="135"/>
      <c r="R434" s="135"/>
      <c r="S434" s="135"/>
      <c r="T434" s="135"/>
      <c r="U434" s="135"/>
    </row>
    <row r="435" spans="12:21" s="134" customFormat="1" x14ac:dyDescent="0.2">
      <c r="L435" s="135"/>
      <c r="M435" s="135"/>
      <c r="N435" s="135"/>
      <c r="O435" s="135"/>
      <c r="P435" s="135"/>
      <c r="Q435" s="135"/>
      <c r="R435" s="135"/>
      <c r="S435" s="135"/>
      <c r="T435" s="135"/>
      <c r="U435" s="135"/>
    </row>
    <row r="436" spans="12:21" s="134" customFormat="1" x14ac:dyDescent="0.2">
      <c r="L436" s="135"/>
      <c r="M436" s="135"/>
      <c r="N436" s="135"/>
      <c r="O436" s="135"/>
      <c r="P436" s="135"/>
      <c r="Q436" s="135"/>
      <c r="R436" s="135"/>
      <c r="S436" s="135"/>
      <c r="T436" s="135"/>
      <c r="U436" s="135"/>
    </row>
    <row r="437" spans="12:21" s="134" customFormat="1" x14ac:dyDescent="0.2">
      <c r="L437" s="135"/>
      <c r="M437" s="135"/>
      <c r="N437" s="135"/>
      <c r="O437" s="135"/>
      <c r="P437" s="135"/>
      <c r="Q437" s="135"/>
      <c r="R437" s="135"/>
      <c r="S437" s="135"/>
      <c r="T437" s="135"/>
      <c r="U437" s="135"/>
    </row>
    <row r="438" spans="12:21" s="134" customFormat="1" x14ac:dyDescent="0.2">
      <c r="L438" s="135"/>
      <c r="M438" s="135"/>
      <c r="N438" s="135"/>
      <c r="O438" s="135"/>
      <c r="P438" s="135"/>
      <c r="Q438" s="135"/>
      <c r="R438" s="135"/>
      <c r="S438" s="135"/>
      <c r="T438" s="135"/>
      <c r="U438" s="135"/>
    </row>
    <row r="439" spans="12:21" s="134" customFormat="1" x14ac:dyDescent="0.2">
      <c r="L439" s="135"/>
      <c r="M439" s="135"/>
      <c r="N439" s="135"/>
      <c r="O439" s="135"/>
      <c r="P439" s="135"/>
      <c r="Q439" s="135"/>
      <c r="R439" s="135"/>
      <c r="S439" s="135"/>
      <c r="T439" s="135"/>
      <c r="U439" s="135"/>
    </row>
    <row r="440" spans="12:21" s="134" customFormat="1" x14ac:dyDescent="0.2">
      <c r="L440" s="135"/>
      <c r="M440" s="135"/>
      <c r="N440" s="135"/>
      <c r="O440" s="135"/>
      <c r="P440" s="135"/>
      <c r="Q440" s="135"/>
      <c r="R440" s="135"/>
      <c r="S440" s="135"/>
      <c r="T440" s="135"/>
      <c r="U440" s="135"/>
    </row>
    <row r="441" spans="12:21" s="134" customFormat="1" x14ac:dyDescent="0.2">
      <c r="L441" s="135"/>
      <c r="M441" s="135"/>
      <c r="N441" s="135"/>
      <c r="O441" s="135"/>
      <c r="P441" s="135"/>
      <c r="Q441" s="135"/>
      <c r="R441" s="135"/>
      <c r="S441" s="135"/>
      <c r="T441" s="135"/>
      <c r="U441" s="135"/>
    </row>
    <row r="442" spans="12:21" s="134" customFormat="1" x14ac:dyDescent="0.2">
      <c r="L442" s="135"/>
      <c r="M442" s="135"/>
      <c r="N442" s="135"/>
      <c r="O442" s="135"/>
      <c r="P442" s="135"/>
      <c r="Q442" s="135"/>
      <c r="R442" s="135"/>
      <c r="S442" s="135"/>
      <c r="T442" s="135"/>
      <c r="U442" s="135"/>
    </row>
    <row r="443" spans="12:21" s="134" customFormat="1" x14ac:dyDescent="0.2">
      <c r="L443" s="135"/>
      <c r="M443" s="135"/>
      <c r="N443" s="135"/>
      <c r="O443" s="135"/>
      <c r="P443" s="135"/>
      <c r="Q443" s="135"/>
      <c r="R443" s="135"/>
      <c r="S443" s="135"/>
      <c r="T443" s="135"/>
      <c r="U443" s="135"/>
    </row>
    <row r="444" spans="12:21" s="134" customFormat="1" x14ac:dyDescent="0.2">
      <c r="L444" s="135"/>
      <c r="M444" s="135"/>
      <c r="N444" s="135"/>
      <c r="O444" s="135"/>
      <c r="P444" s="135"/>
      <c r="Q444" s="135"/>
      <c r="R444" s="135"/>
      <c r="S444" s="135"/>
      <c r="T444" s="135"/>
      <c r="U444" s="135"/>
    </row>
    <row r="445" spans="12:21" s="134" customFormat="1" x14ac:dyDescent="0.2">
      <c r="L445" s="135"/>
      <c r="M445" s="135"/>
      <c r="N445" s="135"/>
      <c r="O445" s="135"/>
      <c r="P445" s="135"/>
      <c r="Q445" s="135"/>
      <c r="R445" s="135"/>
      <c r="S445" s="135"/>
      <c r="T445" s="135"/>
      <c r="U445" s="135"/>
    </row>
    <row r="446" spans="12:21" s="134" customFormat="1" x14ac:dyDescent="0.2">
      <c r="L446" s="135"/>
      <c r="M446" s="135"/>
      <c r="N446" s="135"/>
      <c r="O446" s="135"/>
      <c r="P446" s="135"/>
      <c r="Q446" s="135"/>
      <c r="R446" s="135"/>
      <c r="S446" s="135"/>
      <c r="T446" s="135"/>
      <c r="U446" s="135"/>
    </row>
    <row r="447" spans="12:21" s="134" customFormat="1" x14ac:dyDescent="0.2">
      <c r="L447" s="135"/>
      <c r="M447" s="135"/>
      <c r="N447" s="135"/>
      <c r="O447" s="135"/>
      <c r="P447" s="135"/>
      <c r="Q447" s="135"/>
      <c r="R447" s="135"/>
      <c r="S447" s="135"/>
      <c r="T447" s="135"/>
      <c r="U447" s="135"/>
    </row>
    <row r="448" spans="12:21" s="134" customFormat="1" x14ac:dyDescent="0.2">
      <c r="L448" s="135"/>
      <c r="M448" s="135"/>
      <c r="N448" s="135"/>
      <c r="O448" s="135"/>
      <c r="P448" s="135"/>
      <c r="Q448" s="135"/>
      <c r="R448" s="135"/>
      <c r="S448" s="135"/>
      <c r="T448" s="135"/>
      <c r="U448" s="135"/>
    </row>
    <row r="449" spans="12:21" s="134" customFormat="1" x14ac:dyDescent="0.2">
      <c r="L449" s="135"/>
      <c r="M449" s="135"/>
      <c r="N449" s="135"/>
      <c r="O449" s="135"/>
      <c r="P449" s="135"/>
      <c r="Q449" s="135"/>
      <c r="R449" s="135"/>
      <c r="S449" s="135"/>
      <c r="T449" s="135"/>
      <c r="U449" s="135"/>
    </row>
    <row r="450" spans="12:21" s="134" customFormat="1" x14ac:dyDescent="0.2">
      <c r="L450" s="135"/>
      <c r="M450" s="135"/>
      <c r="N450" s="135"/>
      <c r="O450" s="135"/>
      <c r="P450" s="135"/>
      <c r="Q450" s="135"/>
      <c r="R450" s="135"/>
      <c r="S450" s="135"/>
      <c r="T450" s="135"/>
      <c r="U450" s="135"/>
    </row>
    <row r="451" spans="12:21" s="134" customFormat="1" x14ac:dyDescent="0.2">
      <c r="L451" s="135"/>
      <c r="M451" s="135"/>
      <c r="N451" s="135"/>
      <c r="O451" s="135"/>
      <c r="P451" s="135"/>
      <c r="Q451" s="135"/>
      <c r="R451" s="135"/>
      <c r="S451" s="135"/>
      <c r="T451" s="135"/>
      <c r="U451" s="135"/>
    </row>
    <row r="452" spans="12:21" s="134" customFormat="1" x14ac:dyDescent="0.2">
      <c r="L452" s="135"/>
      <c r="M452" s="135"/>
      <c r="N452" s="135"/>
      <c r="O452" s="135"/>
      <c r="P452" s="135"/>
      <c r="Q452" s="135"/>
      <c r="R452" s="135"/>
      <c r="S452" s="135"/>
      <c r="T452" s="135"/>
      <c r="U452" s="135"/>
    </row>
    <row r="453" spans="12:21" s="134" customFormat="1" x14ac:dyDescent="0.2">
      <c r="L453" s="135"/>
      <c r="M453" s="135"/>
      <c r="N453" s="135"/>
      <c r="O453" s="135"/>
      <c r="P453" s="135"/>
      <c r="Q453" s="135"/>
      <c r="R453" s="135"/>
      <c r="S453" s="135"/>
      <c r="T453" s="135"/>
      <c r="U453" s="135"/>
    </row>
    <row r="454" spans="12:21" s="134" customFormat="1" x14ac:dyDescent="0.2">
      <c r="L454" s="135"/>
      <c r="M454" s="135"/>
      <c r="N454" s="135"/>
      <c r="O454" s="135"/>
      <c r="P454" s="135"/>
      <c r="Q454" s="135"/>
      <c r="R454" s="135"/>
      <c r="S454" s="135"/>
      <c r="T454" s="135"/>
      <c r="U454" s="135"/>
    </row>
    <row r="455" spans="12:21" s="134" customFormat="1" x14ac:dyDescent="0.2">
      <c r="L455" s="135"/>
      <c r="M455" s="135"/>
      <c r="N455" s="135"/>
      <c r="O455" s="135"/>
      <c r="P455" s="135"/>
      <c r="Q455" s="135"/>
      <c r="R455" s="135"/>
      <c r="S455" s="135"/>
      <c r="T455" s="135"/>
      <c r="U455" s="135"/>
    </row>
    <row r="456" spans="12:21" s="134" customFormat="1" x14ac:dyDescent="0.2">
      <c r="L456" s="135"/>
      <c r="M456" s="135"/>
      <c r="N456" s="135"/>
      <c r="O456" s="135"/>
      <c r="P456" s="135"/>
      <c r="Q456" s="135"/>
      <c r="R456" s="135"/>
      <c r="S456" s="135"/>
      <c r="T456" s="135"/>
      <c r="U456" s="135"/>
    </row>
    <row r="457" spans="12:21" s="134" customFormat="1" x14ac:dyDescent="0.2">
      <c r="L457" s="135"/>
      <c r="M457" s="135"/>
      <c r="N457" s="135"/>
      <c r="O457" s="135"/>
      <c r="P457" s="135"/>
      <c r="Q457" s="135"/>
      <c r="R457" s="135"/>
      <c r="S457" s="135"/>
      <c r="T457" s="135"/>
      <c r="U457" s="135"/>
    </row>
    <row r="458" spans="12:21" s="134" customFormat="1" x14ac:dyDescent="0.2">
      <c r="L458" s="135"/>
      <c r="M458" s="135"/>
      <c r="N458" s="135"/>
      <c r="O458" s="135"/>
      <c r="P458" s="135"/>
      <c r="Q458" s="135"/>
      <c r="R458" s="135"/>
      <c r="S458" s="135"/>
      <c r="T458" s="135"/>
      <c r="U458" s="135"/>
    </row>
    <row r="459" spans="12:21" s="134" customFormat="1" x14ac:dyDescent="0.2">
      <c r="L459" s="135"/>
      <c r="M459" s="135"/>
      <c r="N459" s="135"/>
      <c r="O459" s="135"/>
      <c r="P459" s="135"/>
      <c r="Q459" s="135"/>
      <c r="R459" s="135"/>
      <c r="S459" s="135"/>
      <c r="T459" s="135"/>
      <c r="U459" s="135"/>
    </row>
    <row r="460" spans="12:21" s="134" customFormat="1" x14ac:dyDescent="0.2">
      <c r="L460" s="135"/>
      <c r="M460" s="135"/>
      <c r="N460" s="135"/>
      <c r="O460" s="135"/>
      <c r="P460" s="135"/>
      <c r="Q460" s="135"/>
      <c r="R460" s="135"/>
      <c r="S460" s="135"/>
      <c r="T460" s="135"/>
      <c r="U460" s="135"/>
    </row>
    <row r="461" spans="12:21" s="134" customFormat="1" x14ac:dyDescent="0.2">
      <c r="L461" s="135"/>
      <c r="M461" s="135"/>
      <c r="N461" s="135"/>
      <c r="O461" s="135"/>
      <c r="P461" s="135"/>
      <c r="Q461" s="135"/>
      <c r="R461" s="135"/>
      <c r="S461" s="135"/>
      <c r="T461" s="135"/>
      <c r="U461" s="135"/>
    </row>
    <row r="462" spans="12:21" s="134" customFormat="1" x14ac:dyDescent="0.2">
      <c r="L462" s="135"/>
      <c r="M462" s="135"/>
      <c r="N462" s="135"/>
      <c r="O462" s="135"/>
      <c r="P462" s="135"/>
      <c r="Q462" s="135"/>
      <c r="R462" s="135"/>
      <c r="S462" s="135"/>
      <c r="T462" s="135"/>
      <c r="U462" s="135"/>
    </row>
    <row r="463" spans="12:21" s="134" customFormat="1" x14ac:dyDescent="0.2">
      <c r="L463" s="135"/>
      <c r="M463" s="135"/>
      <c r="N463" s="135"/>
      <c r="O463" s="135"/>
      <c r="P463" s="135"/>
      <c r="Q463" s="135"/>
      <c r="R463" s="135"/>
      <c r="S463" s="135"/>
      <c r="T463" s="135"/>
      <c r="U463" s="135"/>
    </row>
    <row r="464" spans="12:21" s="134" customFormat="1" x14ac:dyDescent="0.2">
      <c r="L464" s="135"/>
      <c r="M464" s="135"/>
      <c r="N464" s="135"/>
      <c r="O464" s="135"/>
      <c r="P464" s="135"/>
      <c r="Q464" s="135"/>
      <c r="R464" s="135"/>
      <c r="S464" s="135"/>
      <c r="T464" s="135"/>
      <c r="U464" s="135"/>
    </row>
    <row r="465" spans="12:21" s="134" customFormat="1" x14ac:dyDescent="0.2">
      <c r="L465" s="135"/>
      <c r="M465" s="135"/>
      <c r="N465" s="135"/>
      <c r="O465" s="135"/>
      <c r="P465" s="135"/>
      <c r="Q465" s="135"/>
      <c r="R465" s="135"/>
      <c r="S465" s="135"/>
      <c r="T465" s="135"/>
      <c r="U465" s="135"/>
    </row>
    <row r="466" spans="12:21" s="134" customFormat="1" x14ac:dyDescent="0.2">
      <c r="L466" s="135"/>
      <c r="M466" s="135"/>
      <c r="N466" s="135"/>
      <c r="O466" s="135"/>
      <c r="P466" s="135"/>
      <c r="Q466" s="135"/>
      <c r="R466" s="135"/>
      <c r="S466" s="135"/>
      <c r="T466" s="135"/>
      <c r="U466" s="135"/>
    </row>
    <row r="467" spans="12:21" s="134" customFormat="1" x14ac:dyDescent="0.2">
      <c r="L467" s="135"/>
      <c r="M467" s="135"/>
      <c r="N467" s="135"/>
      <c r="O467" s="135"/>
      <c r="P467" s="135"/>
      <c r="Q467" s="135"/>
      <c r="R467" s="135"/>
      <c r="S467" s="135"/>
      <c r="T467" s="135"/>
      <c r="U467" s="135"/>
    </row>
    <row r="468" spans="12:21" s="134" customFormat="1" x14ac:dyDescent="0.2">
      <c r="L468" s="135"/>
      <c r="M468" s="135"/>
      <c r="N468" s="135"/>
      <c r="O468" s="135"/>
      <c r="P468" s="135"/>
      <c r="Q468" s="135"/>
      <c r="R468" s="135"/>
      <c r="S468" s="135"/>
      <c r="T468" s="135"/>
      <c r="U468" s="135"/>
    </row>
    <row r="469" spans="12:21" s="134" customFormat="1" x14ac:dyDescent="0.2">
      <c r="L469" s="135"/>
      <c r="M469" s="135"/>
      <c r="N469" s="135"/>
      <c r="O469" s="135"/>
      <c r="P469" s="135"/>
      <c r="Q469" s="135"/>
      <c r="R469" s="135"/>
      <c r="S469" s="135"/>
      <c r="T469" s="135"/>
      <c r="U469" s="135"/>
    </row>
    <row r="470" spans="12:21" s="134" customFormat="1" x14ac:dyDescent="0.2">
      <c r="L470" s="135"/>
      <c r="M470" s="135"/>
      <c r="N470" s="135"/>
      <c r="O470" s="135"/>
      <c r="P470" s="135"/>
      <c r="Q470" s="135"/>
      <c r="R470" s="135"/>
      <c r="S470" s="135"/>
      <c r="T470" s="135"/>
      <c r="U470" s="135"/>
    </row>
    <row r="471" spans="12:21" s="134" customFormat="1" x14ac:dyDescent="0.2">
      <c r="L471" s="135"/>
      <c r="M471" s="135"/>
      <c r="N471" s="135"/>
      <c r="O471" s="135"/>
      <c r="P471" s="135"/>
      <c r="Q471" s="135"/>
      <c r="R471" s="135"/>
      <c r="S471" s="135"/>
      <c r="T471" s="135"/>
      <c r="U471" s="135"/>
    </row>
    <row r="472" spans="12:21" s="134" customFormat="1" x14ac:dyDescent="0.2">
      <c r="L472" s="135"/>
      <c r="M472" s="135"/>
      <c r="N472" s="135"/>
      <c r="O472" s="135"/>
      <c r="P472" s="135"/>
      <c r="Q472" s="135"/>
      <c r="R472" s="135"/>
      <c r="S472" s="135"/>
      <c r="T472" s="135"/>
      <c r="U472" s="135"/>
    </row>
    <row r="473" spans="12:21" s="134" customFormat="1" x14ac:dyDescent="0.2">
      <c r="L473" s="135"/>
      <c r="M473" s="135"/>
      <c r="N473" s="135"/>
      <c r="O473" s="135"/>
      <c r="P473" s="135"/>
      <c r="Q473" s="135"/>
      <c r="R473" s="135"/>
      <c r="S473" s="135"/>
      <c r="T473" s="135"/>
      <c r="U473" s="135"/>
    </row>
    <row r="474" spans="12:21" s="134" customFormat="1" x14ac:dyDescent="0.2">
      <c r="L474" s="135"/>
      <c r="M474" s="135"/>
      <c r="N474" s="135"/>
      <c r="O474" s="135"/>
      <c r="P474" s="135"/>
      <c r="Q474" s="135"/>
      <c r="R474" s="135"/>
      <c r="S474" s="135"/>
      <c r="T474" s="135"/>
      <c r="U474" s="135"/>
    </row>
    <row r="475" spans="12:21" s="134" customFormat="1" x14ac:dyDescent="0.2">
      <c r="L475" s="135"/>
      <c r="M475" s="135"/>
      <c r="N475" s="135"/>
      <c r="O475" s="135"/>
      <c r="P475" s="135"/>
      <c r="Q475" s="135"/>
      <c r="R475" s="135"/>
      <c r="S475" s="135"/>
      <c r="T475" s="135"/>
      <c r="U475" s="135"/>
    </row>
    <row r="476" spans="12:21" s="134" customFormat="1" x14ac:dyDescent="0.2">
      <c r="L476" s="135"/>
      <c r="M476" s="135"/>
      <c r="N476" s="135"/>
      <c r="O476" s="135"/>
      <c r="P476" s="135"/>
      <c r="Q476" s="135"/>
      <c r="R476" s="135"/>
      <c r="S476" s="135"/>
      <c r="T476" s="135"/>
      <c r="U476" s="135"/>
    </row>
    <row r="477" spans="12:21" s="134" customFormat="1" x14ac:dyDescent="0.2">
      <c r="L477" s="135"/>
      <c r="M477" s="135"/>
      <c r="N477" s="135"/>
      <c r="O477" s="135"/>
      <c r="P477" s="135"/>
      <c r="Q477" s="135"/>
      <c r="R477" s="135"/>
      <c r="S477" s="135"/>
      <c r="T477" s="135"/>
      <c r="U477" s="135"/>
    </row>
    <row r="478" spans="12:21" s="134" customFormat="1" x14ac:dyDescent="0.2">
      <c r="L478" s="135"/>
      <c r="M478" s="135"/>
      <c r="N478" s="135"/>
      <c r="O478" s="135"/>
      <c r="P478" s="135"/>
      <c r="Q478" s="135"/>
      <c r="R478" s="135"/>
      <c r="S478" s="135"/>
      <c r="T478" s="135"/>
      <c r="U478" s="135"/>
    </row>
    <row r="479" spans="12:21" s="134" customFormat="1" x14ac:dyDescent="0.2">
      <c r="L479" s="135"/>
      <c r="M479" s="135"/>
      <c r="N479" s="135"/>
      <c r="O479" s="135"/>
      <c r="P479" s="135"/>
      <c r="Q479" s="135"/>
      <c r="R479" s="135"/>
      <c r="S479" s="135"/>
      <c r="T479" s="135"/>
      <c r="U479" s="135"/>
    </row>
    <row r="480" spans="12:21" s="134" customFormat="1" x14ac:dyDescent="0.2">
      <c r="L480" s="135"/>
      <c r="M480" s="135"/>
      <c r="N480" s="135"/>
      <c r="O480" s="135"/>
      <c r="P480" s="135"/>
      <c r="Q480" s="135"/>
      <c r="R480" s="135"/>
      <c r="S480" s="135"/>
      <c r="T480" s="135"/>
      <c r="U480" s="135"/>
    </row>
    <row r="481" spans="12:21" s="134" customFormat="1" x14ac:dyDescent="0.2">
      <c r="L481" s="135"/>
      <c r="M481" s="135"/>
      <c r="N481" s="135"/>
      <c r="O481" s="135"/>
      <c r="P481" s="135"/>
      <c r="Q481" s="135"/>
      <c r="R481" s="135"/>
      <c r="S481" s="135"/>
      <c r="T481" s="135"/>
      <c r="U481" s="135"/>
    </row>
    <row r="482" spans="12:21" s="134" customFormat="1" x14ac:dyDescent="0.2">
      <c r="L482" s="135"/>
      <c r="M482" s="135"/>
      <c r="N482" s="135"/>
      <c r="O482" s="135"/>
      <c r="P482" s="135"/>
      <c r="Q482" s="135"/>
      <c r="R482" s="135"/>
      <c r="S482" s="135"/>
      <c r="T482" s="135"/>
      <c r="U482" s="135"/>
    </row>
    <row r="483" spans="12:21" s="134" customFormat="1" x14ac:dyDescent="0.2">
      <c r="L483" s="135"/>
      <c r="M483" s="135"/>
      <c r="N483" s="135"/>
      <c r="O483" s="135"/>
      <c r="P483" s="135"/>
      <c r="Q483" s="135"/>
      <c r="R483" s="135"/>
      <c r="S483" s="135"/>
      <c r="T483" s="135"/>
      <c r="U483" s="135"/>
    </row>
    <row r="484" spans="12:21" s="134" customFormat="1" x14ac:dyDescent="0.2">
      <c r="L484" s="135"/>
      <c r="M484" s="135"/>
      <c r="N484" s="135"/>
      <c r="O484" s="135"/>
      <c r="P484" s="135"/>
      <c r="Q484" s="135"/>
      <c r="R484" s="135"/>
      <c r="S484" s="135"/>
      <c r="T484" s="135"/>
      <c r="U484" s="135"/>
    </row>
    <row r="485" spans="12:21" s="134" customFormat="1" x14ac:dyDescent="0.2">
      <c r="L485" s="135"/>
      <c r="M485" s="135"/>
      <c r="N485" s="135"/>
      <c r="O485" s="135"/>
      <c r="P485" s="135"/>
      <c r="Q485" s="135"/>
      <c r="R485" s="135"/>
      <c r="S485" s="135"/>
      <c r="T485" s="135"/>
      <c r="U485" s="135"/>
    </row>
    <row r="486" spans="12:21" s="134" customFormat="1" x14ac:dyDescent="0.2">
      <c r="L486" s="135"/>
      <c r="M486" s="135"/>
      <c r="N486" s="135"/>
      <c r="O486" s="135"/>
      <c r="P486" s="135"/>
      <c r="Q486" s="135"/>
      <c r="R486" s="135"/>
      <c r="S486" s="135"/>
      <c r="T486" s="135"/>
      <c r="U486" s="135"/>
    </row>
    <row r="487" spans="12:21" s="134" customFormat="1" x14ac:dyDescent="0.2">
      <c r="L487" s="135"/>
      <c r="M487" s="135"/>
      <c r="N487" s="135"/>
      <c r="O487" s="135"/>
      <c r="P487" s="135"/>
      <c r="Q487" s="135"/>
      <c r="R487" s="135"/>
      <c r="S487" s="135"/>
      <c r="T487" s="135"/>
      <c r="U487" s="135"/>
    </row>
    <row r="488" spans="12:21" s="134" customFormat="1" x14ac:dyDescent="0.2">
      <c r="L488" s="135"/>
      <c r="M488" s="135"/>
      <c r="N488" s="135"/>
      <c r="O488" s="135"/>
      <c r="P488" s="135"/>
      <c r="Q488" s="135"/>
      <c r="R488" s="135"/>
      <c r="S488" s="135"/>
      <c r="T488" s="135"/>
      <c r="U488" s="135"/>
    </row>
    <row r="489" spans="12:21" s="134" customFormat="1" x14ac:dyDescent="0.2">
      <c r="L489" s="135"/>
      <c r="M489" s="135"/>
      <c r="N489" s="135"/>
      <c r="O489" s="135"/>
      <c r="P489" s="135"/>
      <c r="Q489" s="135"/>
      <c r="R489" s="135"/>
      <c r="S489" s="135"/>
      <c r="T489" s="135"/>
      <c r="U489" s="135"/>
    </row>
    <row r="490" spans="12:21" s="134" customFormat="1" x14ac:dyDescent="0.2">
      <c r="L490" s="135"/>
      <c r="M490" s="135"/>
      <c r="N490" s="135"/>
      <c r="O490" s="135"/>
      <c r="P490" s="135"/>
      <c r="Q490" s="135"/>
      <c r="R490" s="135"/>
      <c r="S490" s="135"/>
      <c r="T490" s="135"/>
      <c r="U490" s="135"/>
    </row>
    <row r="491" spans="12:21" s="134" customFormat="1" x14ac:dyDescent="0.2">
      <c r="L491" s="135"/>
      <c r="M491" s="135"/>
      <c r="N491" s="135"/>
      <c r="O491" s="135"/>
      <c r="P491" s="135"/>
      <c r="Q491" s="135"/>
      <c r="R491" s="135"/>
      <c r="S491" s="135"/>
      <c r="T491" s="135"/>
      <c r="U491" s="135"/>
    </row>
    <row r="492" spans="12:21" s="134" customFormat="1" x14ac:dyDescent="0.2">
      <c r="L492" s="135"/>
      <c r="M492" s="135"/>
      <c r="N492" s="135"/>
      <c r="O492" s="135"/>
      <c r="P492" s="135"/>
      <c r="Q492" s="135"/>
      <c r="R492" s="135"/>
      <c r="S492" s="135"/>
      <c r="T492" s="135"/>
      <c r="U492" s="135"/>
    </row>
    <row r="493" spans="12:21" s="134" customFormat="1" x14ac:dyDescent="0.2">
      <c r="L493" s="135"/>
      <c r="M493" s="135"/>
      <c r="N493" s="135"/>
      <c r="O493" s="135"/>
      <c r="P493" s="135"/>
      <c r="Q493" s="135"/>
      <c r="R493" s="135"/>
      <c r="S493" s="135"/>
      <c r="T493" s="135"/>
      <c r="U493" s="135"/>
    </row>
    <row r="494" spans="12:21" s="134" customFormat="1" x14ac:dyDescent="0.2">
      <c r="L494" s="135"/>
      <c r="M494" s="135"/>
      <c r="N494" s="135"/>
      <c r="O494" s="135"/>
      <c r="P494" s="135"/>
      <c r="Q494" s="135"/>
      <c r="R494" s="135"/>
      <c r="S494" s="135"/>
      <c r="T494" s="135"/>
      <c r="U494" s="135"/>
    </row>
    <row r="495" spans="12:21" s="134" customFormat="1" x14ac:dyDescent="0.2">
      <c r="L495" s="135"/>
      <c r="M495" s="135"/>
      <c r="N495" s="135"/>
      <c r="O495" s="135"/>
      <c r="P495" s="135"/>
      <c r="Q495" s="135"/>
      <c r="R495" s="135"/>
      <c r="S495" s="135"/>
      <c r="T495" s="135"/>
      <c r="U495" s="135"/>
    </row>
    <row r="496" spans="12:21" s="134" customFormat="1" x14ac:dyDescent="0.2">
      <c r="L496" s="135"/>
      <c r="M496" s="135"/>
      <c r="N496" s="135"/>
      <c r="O496" s="135"/>
      <c r="P496" s="135"/>
      <c r="Q496" s="135"/>
      <c r="R496" s="135"/>
      <c r="S496" s="135"/>
      <c r="T496" s="135"/>
      <c r="U496" s="135"/>
    </row>
    <row r="497" spans="12:21" s="134" customFormat="1" x14ac:dyDescent="0.2">
      <c r="L497" s="135"/>
      <c r="M497" s="135"/>
      <c r="N497" s="135"/>
      <c r="O497" s="135"/>
      <c r="P497" s="135"/>
      <c r="Q497" s="135"/>
      <c r="R497" s="135"/>
      <c r="S497" s="135"/>
      <c r="T497" s="135"/>
      <c r="U497" s="135"/>
    </row>
    <row r="498" spans="12:21" s="134" customFormat="1" x14ac:dyDescent="0.2">
      <c r="L498" s="135"/>
      <c r="M498" s="135"/>
      <c r="N498" s="135"/>
      <c r="O498" s="135"/>
      <c r="P498" s="135"/>
      <c r="Q498" s="135"/>
      <c r="R498" s="135"/>
      <c r="S498" s="135"/>
      <c r="T498" s="135"/>
      <c r="U498" s="135"/>
    </row>
    <row r="499" spans="12:21" s="134" customFormat="1" x14ac:dyDescent="0.2">
      <c r="L499" s="135"/>
      <c r="M499" s="135"/>
      <c r="N499" s="135"/>
      <c r="O499" s="135"/>
      <c r="P499" s="135"/>
      <c r="Q499" s="135"/>
      <c r="R499" s="135"/>
      <c r="S499" s="135"/>
      <c r="T499" s="135"/>
      <c r="U499" s="135"/>
    </row>
    <row r="500" spans="12:21" s="134" customFormat="1" x14ac:dyDescent="0.2">
      <c r="L500" s="135"/>
      <c r="M500" s="135"/>
      <c r="N500" s="135"/>
      <c r="O500" s="135"/>
      <c r="P500" s="135"/>
      <c r="Q500" s="135"/>
      <c r="R500" s="135"/>
      <c r="S500" s="135"/>
      <c r="T500" s="135"/>
      <c r="U500" s="135"/>
    </row>
    <row r="501" spans="12:21" s="134" customFormat="1" x14ac:dyDescent="0.2">
      <c r="L501" s="135"/>
      <c r="M501" s="135"/>
      <c r="N501" s="135"/>
      <c r="O501" s="135"/>
      <c r="P501" s="135"/>
      <c r="Q501" s="135"/>
      <c r="R501" s="135"/>
      <c r="S501" s="135"/>
      <c r="T501" s="135"/>
      <c r="U501" s="135"/>
    </row>
    <row r="502" spans="12:21" s="134" customFormat="1" x14ac:dyDescent="0.2">
      <c r="L502" s="135"/>
      <c r="M502" s="135"/>
      <c r="N502" s="135"/>
      <c r="O502" s="135"/>
      <c r="P502" s="135"/>
      <c r="Q502" s="135"/>
      <c r="R502" s="135"/>
      <c r="S502" s="135"/>
      <c r="T502" s="135"/>
      <c r="U502" s="135"/>
    </row>
    <row r="503" spans="12:21" s="134" customFormat="1" x14ac:dyDescent="0.2">
      <c r="L503" s="135"/>
      <c r="M503" s="135"/>
      <c r="N503" s="135"/>
      <c r="O503" s="135"/>
      <c r="P503" s="135"/>
      <c r="Q503" s="135"/>
      <c r="R503" s="135"/>
      <c r="S503" s="135"/>
      <c r="T503" s="135"/>
      <c r="U503" s="135"/>
    </row>
    <row r="504" spans="12:21" s="134" customFormat="1" x14ac:dyDescent="0.2">
      <c r="L504" s="135"/>
      <c r="M504" s="135"/>
      <c r="N504" s="135"/>
      <c r="O504" s="135"/>
      <c r="P504" s="135"/>
      <c r="Q504" s="135"/>
      <c r="R504" s="135"/>
      <c r="S504" s="135"/>
      <c r="T504" s="135"/>
      <c r="U504" s="135"/>
    </row>
    <row r="505" spans="12:21" s="134" customFormat="1" x14ac:dyDescent="0.2">
      <c r="L505" s="135"/>
      <c r="M505" s="135"/>
      <c r="N505" s="135"/>
      <c r="O505" s="135"/>
      <c r="P505" s="135"/>
      <c r="Q505" s="135"/>
      <c r="R505" s="135"/>
      <c r="S505" s="135"/>
      <c r="T505" s="135"/>
      <c r="U505" s="135"/>
    </row>
    <row r="506" spans="12:21" s="134" customFormat="1" x14ac:dyDescent="0.2">
      <c r="L506" s="135"/>
      <c r="M506" s="135"/>
      <c r="N506" s="135"/>
      <c r="O506" s="135"/>
      <c r="P506" s="135"/>
      <c r="Q506" s="135"/>
      <c r="R506" s="135"/>
      <c r="S506" s="135"/>
      <c r="T506" s="135"/>
      <c r="U506" s="135"/>
    </row>
    <row r="507" spans="12:21" s="134" customFormat="1" x14ac:dyDescent="0.2">
      <c r="L507" s="135"/>
      <c r="M507" s="135"/>
      <c r="N507" s="135"/>
      <c r="O507" s="135"/>
      <c r="P507" s="135"/>
      <c r="Q507" s="135"/>
      <c r="R507" s="135"/>
      <c r="S507" s="135"/>
      <c r="T507" s="135"/>
      <c r="U507" s="135"/>
    </row>
    <row r="508" spans="12:21" s="134" customFormat="1" x14ac:dyDescent="0.2">
      <c r="L508" s="135"/>
      <c r="M508" s="135"/>
      <c r="N508" s="135"/>
      <c r="O508" s="135"/>
      <c r="P508" s="135"/>
      <c r="Q508" s="135"/>
      <c r="R508" s="135"/>
      <c r="S508" s="135"/>
      <c r="T508" s="135"/>
      <c r="U508" s="135"/>
    </row>
    <row r="509" spans="12:21" s="134" customFormat="1" x14ac:dyDescent="0.2">
      <c r="L509" s="135"/>
      <c r="M509" s="135"/>
      <c r="N509" s="135"/>
      <c r="O509" s="135"/>
      <c r="P509" s="135"/>
      <c r="Q509" s="135"/>
      <c r="R509" s="135"/>
      <c r="S509" s="135"/>
      <c r="T509" s="135"/>
      <c r="U509" s="135"/>
    </row>
    <row r="510" spans="12:21" s="134" customFormat="1" x14ac:dyDescent="0.2">
      <c r="L510" s="135"/>
      <c r="M510" s="135"/>
      <c r="N510" s="135"/>
      <c r="O510" s="135"/>
      <c r="P510" s="135"/>
      <c r="Q510" s="135"/>
      <c r="R510" s="135"/>
      <c r="S510" s="135"/>
      <c r="T510" s="135"/>
      <c r="U510" s="135"/>
    </row>
    <row r="511" spans="12:21" s="134" customFormat="1" x14ac:dyDescent="0.2">
      <c r="L511" s="135"/>
      <c r="M511" s="135"/>
      <c r="N511" s="135"/>
      <c r="O511" s="135"/>
      <c r="P511" s="135"/>
      <c r="Q511" s="135"/>
      <c r="R511" s="135"/>
      <c r="S511" s="135"/>
      <c r="T511" s="135"/>
      <c r="U511" s="135"/>
    </row>
    <row r="512" spans="12:21" s="134" customFormat="1" x14ac:dyDescent="0.2">
      <c r="L512" s="135"/>
      <c r="M512" s="135"/>
      <c r="N512" s="135"/>
      <c r="O512" s="135"/>
      <c r="P512" s="135"/>
      <c r="Q512" s="135"/>
      <c r="R512" s="135"/>
      <c r="S512" s="135"/>
      <c r="T512" s="135"/>
      <c r="U512" s="135"/>
    </row>
    <row r="513" spans="12:21" s="134" customFormat="1" x14ac:dyDescent="0.2">
      <c r="L513" s="135"/>
      <c r="M513" s="135"/>
      <c r="N513" s="135"/>
      <c r="O513" s="135"/>
      <c r="P513" s="135"/>
      <c r="Q513" s="135"/>
      <c r="R513" s="135"/>
      <c r="S513" s="135"/>
      <c r="T513" s="135"/>
      <c r="U513" s="135"/>
    </row>
    <row r="514" spans="12:21" s="134" customFormat="1" x14ac:dyDescent="0.2">
      <c r="L514" s="135"/>
      <c r="M514" s="135"/>
      <c r="N514" s="135"/>
      <c r="O514" s="135"/>
      <c r="P514" s="135"/>
      <c r="Q514" s="135"/>
      <c r="R514" s="135"/>
      <c r="S514" s="135"/>
      <c r="T514" s="135"/>
      <c r="U514" s="135"/>
    </row>
    <row r="515" spans="12:21" s="134" customFormat="1" x14ac:dyDescent="0.2">
      <c r="L515" s="135"/>
      <c r="M515" s="135"/>
      <c r="N515" s="135"/>
      <c r="O515" s="135"/>
      <c r="P515" s="135"/>
      <c r="Q515" s="135"/>
      <c r="R515" s="135"/>
      <c r="S515" s="135"/>
      <c r="T515" s="135"/>
      <c r="U515" s="135"/>
    </row>
    <row r="516" spans="12:21" s="134" customFormat="1" x14ac:dyDescent="0.2">
      <c r="L516" s="135"/>
      <c r="M516" s="135"/>
      <c r="N516" s="135"/>
      <c r="O516" s="135"/>
      <c r="P516" s="135"/>
      <c r="Q516" s="135"/>
      <c r="R516" s="135"/>
      <c r="S516" s="135"/>
      <c r="T516" s="135"/>
      <c r="U516" s="135"/>
    </row>
    <row r="517" spans="12:21" s="134" customFormat="1" x14ac:dyDescent="0.2">
      <c r="L517" s="135"/>
      <c r="M517" s="135"/>
      <c r="N517" s="135"/>
      <c r="O517" s="135"/>
      <c r="P517" s="135"/>
      <c r="Q517" s="135"/>
      <c r="R517" s="135"/>
      <c r="S517" s="135"/>
      <c r="T517" s="135"/>
      <c r="U517" s="135"/>
    </row>
    <row r="518" spans="12:21" s="134" customFormat="1" x14ac:dyDescent="0.2">
      <c r="L518" s="135"/>
      <c r="M518" s="135"/>
      <c r="N518" s="135"/>
      <c r="O518" s="135"/>
      <c r="P518" s="135"/>
      <c r="Q518" s="135"/>
      <c r="R518" s="135"/>
      <c r="S518" s="135"/>
      <c r="T518" s="135"/>
      <c r="U518" s="135"/>
    </row>
    <row r="519" spans="12:21" s="134" customFormat="1" x14ac:dyDescent="0.2">
      <c r="L519" s="135"/>
      <c r="M519" s="135"/>
      <c r="N519" s="135"/>
      <c r="O519" s="135"/>
      <c r="P519" s="135"/>
      <c r="Q519" s="135"/>
      <c r="R519" s="135"/>
      <c r="S519" s="135"/>
      <c r="T519" s="135"/>
      <c r="U519" s="135"/>
    </row>
    <row r="520" spans="12:21" s="134" customFormat="1" x14ac:dyDescent="0.2">
      <c r="L520" s="135"/>
      <c r="M520" s="135"/>
      <c r="N520" s="135"/>
      <c r="O520" s="135"/>
      <c r="P520" s="135"/>
      <c r="Q520" s="135"/>
      <c r="R520" s="135"/>
      <c r="S520" s="135"/>
      <c r="T520" s="135"/>
      <c r="U520" s="135"/>
    </row>
    <row r="521" spans="12:21" s="134" customFormat="1" x14ac:dyDescent="0.2">
      <c r="L521" s="135"/>
      <c r="M521" s="135"/>
      <c r="N521" s="135"/>
      <c r="O521" s="135"/>
      <c r="P521" s="135"/>
      <c r="Q521" s="135"/>
      <c r="R521" s="135"/>
      <c r="S521" s="135"/>
      <c r="T521" s="135"/>
      <c r="U521" s="135"/>
    </row>
    <row r="522" spans="12:21" s="134" customFormat="1" x14ac:dyDescent="0.2">
      <c r="L522" s="135"/>
      <c r="M522" s="135"/>
      <c r="N522" s="135"/>
      <c r="O522" s="135"/>
      <c r="P522" s="135"/>
      <c r="Q522" s="135"/>
      <c r="R522" s="135"/>
      <c r="S522" s="135"/>
      <c r="T522" s="135"/>
      <c r="U522" s="135"/>
    </row>
    <row r="523" spans="12:21" s="134" customFormat="1" x14ac:dyDescent="0.2">
      <c r="L523" s="135"/>
      <c r="M523" s="135"/>
      <c r="N523" s="135"/>
      <c r="O523" s="135"/>
      <c r="P523" s="135"/>
      <c r="Q523" s="135"/>
      <c r="R523" s="135"/>
      <c r="S523" s="135"/>
      <c r="T523" s="135"/>
      <c r="U523" s="135"/>
    </row>
    <row r="524" spans="12:21" s="134" customFormat="1" x14ac:dyDescent="0.2">
      <c r="L524" s="135"/>
      <c r="M524" s="135"/>
      <c r="N524" s="135"/>
      <c r="O524" s="135"/>
      <c r="P524" s="135"/>
      <c r="Q524" s="135"/>
      <c r="R524" s="135"/>
      <c r="S524" s="135"/>
      <c r="T524" s="135"/>
      <c r="U524" s="135"/>
    </row>
    <row r="525" spans="12:21" s="134" customFormat="1" x14ac:dyDescent="0.2">
      <c r="L525" s="135"/>
      <c r="M525" s="135"/>
      <c r="N525" s="135"/>
      <c r="O525" s="135"/>
      <c r="P525" s="135"/>
      <c r="Q525" s="135"/>
      <c r="R525" s="135"/>
      <c r="S525" s="135"/>
      <c r="T525" s="135"/>
      <c r="U525" s="135"/>
    </row>
    <row r="526" spans="12:21" s="134" customFormat="1" x14ac:dyDescent="0.2">
      <c r="L526" s="135"/>
      <c r="M526" s="135"/>
      <c r="N526" s="135"/>
      <c r="O526" s="135"/>
      <c r="P526" s="135"/>
      <c r="Q526" s="135"/>
      <c r="R526" s="135"/>
      <c r="S526" s="135"/>
      <c r="T526" s="135"/>
      <c r="U526" s="135"/>
    </row>
    <row r="527" spans="12:21" s="134" customFormat="1" x14ac:dyDescent="0.2">
      <c r="L527" s="135"/>
      <c r="M527" s="135"/>
      <c r="N527" s="135"/>
      <c r="O527" s="135"/>
      <c r="P527" s="135"/>
      <c r="Q527" s="135"/>
      <c r="R527" s="135"/>
      <c r="S527" s="135"/>
      <c r="T527" s="135"/>
      <c r="U527" s="135"/>
    </row>
    <row r="528" spans="12:21" s="134" customFormat="1" x14ac:dyDescent="0.2">
      <c r="L528" s="135"/>
      <c r="M528" s="135"/>
      <c r="N528" s="135"/>
      <c r="O528" s="135"/>
      <c r="P528" s="135"/>
      <c r="Q528" s="135"/>
      <c r="R528" s="135"/>
      <c r="S528" s="135"/>
      <c r="T528" s="135"/>
      <c r="U528" s="135"/>
    </row>
    <row r="529" spans="12:21" s="134" customFormat="1" x14ac:dyDescent="0.2">
      <c r="L529" s="135"/>
      <c r="M529" s="135"/>
      <c r="N529" s="135"/>
      <c r="O529" s="135"/>
      <c r="P529" s="135"/>
      <c r="Q529" s="135"/>
      <c r="R529" s="135"/>
      <c r="S529" s="135"/>
      <c r="T529" s="135"/>
      <c r="U529" s="135"/>
    </row>
    <row r="530" spans="12:21" s="134" customFormat="1" x14ac:dyDescent="0.2">
      <c r="L530" s="135"/>
      <c r="M530" s="135"/>
      <c r="N530" s="135"/>
      <c r="O530" s="135"/>
      <c r="P530" s="135"/>
      <c r="Q530" s="135"/>
      <c r="R530" s="135"/>
      <c r="S530" s="135"/>
      <c r="T530" s="135"/>
      <c r="U530" s="135"/>
    </row>
    <row r="531" spans="12:21" s="134" customFormat="1" x14ac:dyDescent="0.2">
      <c r="L531" s="135"/>
      <c r="M531" s="135"/>
      <c r="N531" s="135"/>
      <c r="O531" s="135"/>
      <c r="P531" s="135"/>
      <c r="Q531" s="135"/>
      <c r="R531" s="135"/>
      <c r="S531" s="135"/>
      <c r="T531" s="135"/>
      <c r="U531" s="135"/>
    </row>
    <row r="532" spans="12:21" s="134" customFormat="1" x14ac:dyDescent="0.2">
      <c r="L532" s="135"/>
      <c r="M532" s="135"/>
      <c r="N532" s="135"/>
      <c r="O532" s="135"/>
      <c r="P532" s="135"/>
      <c r="Q532" s="135"/>
      <c r="R532" s="135"/>
      <c r="S532" s="135"/>
      <c r="T532" s="135"/>
      <c r="U532" s="135"/>
    </row>
    <row r="533" spans="12:21" s="134" customFormat="1" x14ac:dyDescent="0.2">
      <c r="L533" s="135"/>
      <c r="M533" s="135"/>
      <c r="N533" s="135"/>
      <c r="O533" s="135"/>
      <c r="P533" s="135"/>
      <c r="Q533" s="135"/>
      <c r="R533" s="135"/>
      <c r="S533" s="135"/>
      <c r="T533" s="135"/>
      <c r="U533" s="135"/>
    </row>
    <row r="534" spans="12:21" s="134" customFormat="1" x14ac:dyDescent="0.2">
      <c r="L534" s="135"/>
      <c r="M534" s="135"/>
      <c r="N534" s="135"/>
      <c r="O534" s="135"/>
      <c r="P534" s="135"/>
      <c r="Q534" s="135"/>
      <c r="R534" s="135"/>
      <c r="S534" s="135"/>
      <c r="T534" s="135"/>
      <c r="U534" s="135"/>
    </row>
    <row r="535" spans="12:21" s="134" customFormat="1" x14ac:dyDescent="0.2">
      <c r="L535" s="135"/>
      <c r="M535" s="135"/>
      <c r="N535" s="135"/>
      <c r="O535" s="135"/>
      <c r="P535" s="135"/>
      <c r="Q535" s="135"/>
      <c r="R535" s="135"/>
      <c r="S535" s="135"/>
      <c r="T535" s="135"/>
      <c r="U535" s="135"/>
    </row>
    <row r="536" spans="12:21" s="134" customFormat="1" x14ac:dyDescent="0.2">
      <c r="L536" s="135"/>
      <c r="M536" s="135"/>
      <c r="N536" s="135"/>
      <c r="O536" s="135"/>
      <c r="P536" s="135"/>
      <c r="Q536" s="135"/>
      <c r="R536" s="135"/>
      <c r="S536" s="135"/>
      <c r="T536" s="135"/>
      <c r="U536" s="135"/>
    </row>
    <row r="537" spans="12:21" s="134" customFormat="1" x14ac:dyDescent="0.2">
      <c r="L537" s="135"/>
      <c r="M537" s="135"/>
      <c r="N537" s="135"/>
      <c r="O537" s="135"/>
      <c r="P537" s="135"/>
      <c r="Q537" s="135"/>
      <c r="R537" s="135"/>
      <c r="S537" s="135"/>
      <c r="T537" s="135"/>
      <c r="U537" s="135"/>
    </row>
    <row r="538" spans="12:21" s="134" customFormat="1" x14ac:dyDescent="0.2">
      <c r="L538" s="135"/>
      <c r="M538" s="135"/>
      <c r="N538" s="135"/>
      <c r="O538" s="135"/>
      <c r="P538" s="135"/>
      <c r="Q538" s="135"/>
      <c r="R538" s="135"/>
      <c r="S538" s="135"/>
      <c r="T538" s="135"/>
      <c r="U538" s="135"/>
    </row>
    <row r="539" spans="12:21" s="134" customFormat="1" x14ac:dyDescent="0.2">
      <c r="L539" s="135"/>
      <c r="M539" s="135"/>
      <c r="N539" s="135"/>
      <c r="O539" s="135"/>
      <c r="P539" s="135"/>
      <c r="Q539" s="135"/>
      <c r="R539" s="135"/>
      <c r="S539" s="135"/>
      <c r="T539" s="135"/>
      <c r="U539" s="135"/>
    </row>
    <row r="540" spans="12:21" s="134" customFormat="1" x14ac:dyDescent="0.2">
      <c r="L540" s="135"/>
      <c r="M540" s="135"/>
      <c r="N540" s="135"/>
      <c r="O540" s="135"/>
      <c r="P540" s="135"/>
      <c r="Q540" s="135"/>
      <c r="R540" s="135"/>
      <c r="S540" s="135"/>
      <c r="T540" s="135"/>
      <c r="U540" s="135"/>
    </row>
    <row r="541" spans="12:21" s="134" customFormat="1" x14ac:dyDescent="0.2">
      <c r="L541" s="135"/>
      <c r="M541" s="135"/>
      <c r="N541" s="135"/>
      <c r="O541" s="135"/>
      <c r="P541" s="135"/>
      <c r="Q541" s="135"/>
      <c r="R541" s="135"/>
      <c r="S541" s="135"/>
      <c r="T541" s="135"/>
      <c r="U541" s="135"/>
    </row>
    <row r="542" spans="12:21" s="134" customFormat="1" x14ac:dyDescent="0.2">
      <c r="L542" s="135"/>
      <c r="M542" s="135"/>
      <c r="N542" s="135"/>
      <c r="O542" s="135"/>
      <c r="P542" s="135"/>
      <c r="Q542" s="135"/>
      <c r="R542" s="135"/>
      <c r="S542" s="135"/>
      <c r="T542" s="135"/>
      <c r="U542" s="135"/>
    </row>
    <row r="543" spans="12:21" s="134" customFormat="1" x14ac:dyDescent="0.2">
      <c r="L543" s="135"/>
      <c r="M543" s="135"/>
      <c r="N543" s="135"/>
      <c r="O543" s="135"/>
      <c r="P543" s="135"/>
      <c r="Q543" s="135"/>
      <c r="R543" s="135"/>
      <c r="S543" s="135"/>
      <c r="T543" s="135"/>
      <c r="U543" s="135"/>
    </row>
    <row r="544" spans="12:21" s="134" customFormat="1" x14ac:dyDescent="0.2">
      <c r="L544" s="135"/>
      <c r="M544" s="135"/>
      <c r="N544" s="135"/>
      <c r="O544" s="135"/>
      <c r="P544" s="135"/>
      <c r="Q544" s="135"/>
      <c r="R544" s="135"/>
      <c r="S544" s="135"/>
      <c r="T544" s="135"/>
      <c r="U544" s="135"/>
    </row>
    <row r="545" spans="12:21" s="134" customFormat="1" x14ac:dyDescent="0.2">
      <c r="L545" s="135"/>
      <c r="M545" s="135"/>
      <c r="N545" s="135"/>
      <c r="O545" s="135"/>
      <c r="P545" s="135"/>
      <c r="Q545" s="135"/>
      <c r="R545" s="135"/>
      <c r="S545" s="135"/>
      <c r="T545" s="135"/>
      <c r="U545" s="135"/>
    </row>
    <row r="546" spans="12:21" s="134" customFormat="1" x14ac:dyDescent="0.2">
      <c r="L546" s="135"/>
      <c r="M546" s="135"/>
      <c r="N546" s="135"/>
      <c r="O546" s="135"/>
      <c r="P546" s="135"/>
      <c r="Q546" s="135"/>
      <c r="R546" s="135"/>
      <c r="S546" s="135"/>
      <c r="T546" s="135"/>
      <c r="U546" s="135"/>
    </row>
    <row r="547" spans="12:21" s="134" customFormat="1" x14ac:dyDescent="0.2">
      <c r="L547" s="135"/>
      <c r="M547" s="135"/>
      <c r="N547" s="135"/>
      <c r="O547" s="135"/>
      <c r="P547" s="135"/>
      <c r="Q547" s="135"/>
      <c r="R547" s="135"/>
      <c r="S547" s="135"/>
      <c r="T547" s="135"/>
      <c r="U547" s="135"/>
    </row>
    <row r="548" spans="12:21" s="134" customFormat="1" x14ac:dyDescent="0.2">
      <c r="L548" s="135"/>
      <c r="M548" s="135"/>
      <c r="N548" s="135"/>
      <c r="O548" s="135"/>
      <c r="P548" s="135"/>
      <c r="Q548" s="135"/>
      <c r="R548" s="135"/>
      <c r="S548" s="135"/>
      <c r="T548" s="135"/>
      <c r="U548" s="135"/>
    </row>
    <row r="549" spans="12:21" s="134" customFormat="1" x14ac:dyDescent="0.2">
      <c r="L549" s="135"/>
      <c r="M549" s="135"/>
      <c r="N549" s="135"/>
      <c r="O549" s="135"/>
      <c r="P549" s="135"/>
      <c r="Q549" s="135"/>
      <c r="R549" s="135"/>
      <c r="S549" s="135"/>
      <c r="T549" s="135"/>
      <c r="U549" s="135"/>
    </row>
    <row r="550" spans="12:21" s="134" customFormat="1" x14ac:dyDescent="0.2">
      <c r="L550" s="135"/>
      <c r="M550" s="135"/>
      <c r="N550" s="135"/>
      <c r="O550" s="135"/>
      <c r="P550" s="135"/>
      <c r="Q550" s="135"/>
      <c r="R550" s="135"/>
      <c r="S550" s="135"/>
      <c r="T550" s="135"/>
      <c r="U550" s="135"/>
    </row>
    <row r="551" spans="12:21" s="134" customFormat="1" x14ac:dyDescent="0.2">
      <c r="L551" s="135"/>
      <c r="M551" s="135"/>
      <c r="N551" s="135"/>
      <c r="O551" s="135"/>
      <c r="P551" s="135"/>
      <c r="Q551" s="135"/>
      <c r="R551" s="135"/>
      <c r="S551" s="135"/>
      <c r="T551" s="135"/>
      <c r="U551" s="135"/>
    </row>
    <row r="552" spans="12:21" s="134" customFormat="1" x14ac:dyDescent="0.2">
      <c r="L552" s="135"/>
      <c r="M552" s="135"/>
      <c r="N552" s="135"/>
      <c r="O552" s="135"/>
      <c r="P552" s="135"/>
      <c r="Q552" s="135"/>
      <c r="R552" s="135"/>
      <c r="S552" s="135"/>
      <c r="T552" s="135"/>
      <c r="U552" s="135"/>
    </row>
    <row r="553" spans="12:21" s="134" customFormat="1" x14ac:dyDescent="0.2">
      <c r="L553" s="135"/>
      <c r="M553" s="135"/>
      <c r="N553" s="135"/>
      <c r="O553" s="135"/>
      <c r="P553" s="135"/>
      <c r="Q553" s="135"/>
      <c r="R553" s="135"/>
      <c r="S553" s="135"/>
      <c r="T553" s="135"/>
      <c r="U553" s="135"/>
    </row>
    <row r="554" spans="12:21" s="134" customFormat="1" x14ac:dyDescent="0.2">
      <c r="L554" s="135"/>
      <c r="M554" s="135"/>
      <c r="N554" s="135"/>
      <c r="O554" s="135"/>
      <c r="P554" s="135"/>
      <c r="Q554" s="135"/>
      <c r="R554" s="135"/>
      <c r="S554" s="135"/>
      <c r="T554" s="135"/>
      <c r="U554" s="135"/>
    </row>
    <row r="555" spans="12:21" s="134" customFormat="1" x14ac:dyDescent="0.2">
      <c r="L555" s="135"/>
      <c r="M555" s="135"/>
      <c r="N555" s="135"/>
      <c r="O555" s="135"/>
      <c r="P555" s="135"/>
      <c r="Q555" s="135"/>
      <c r="R555" s="135"/>
      <c r="S555" s="135"/>
      <c r="T555" s="135"/>
      <c r="U555" s="135"/>
    </row>
    <row r="556" spans="12:21" s="134" customFormat="1" x14ac:dyDescent="0.2">
      <c r="L556" s="135"/>
      <c r="M556" s="135"/>
      <c r="N556" s="135"/>
      <c r="O556" s="135"/>
      <c r="P556" s="135"/>
      <c r="Q556" s="135"/>
      <c r="R556" s="135"/>
      <c r="S556" s="135"/>
      <c r="T556" s="135"/>
      <c r="U556" s="135"/>
    </row>
    <row r="557" spans="12:21" s="134" customFormat="1" x14ac:dyDescent="0.2">
      <c r="L557" s="135"/>
      <c r="M557" s="135"/>
      <c r="N557" s="135"/>
      <c r="O557" s="135"/>
      <c r="P557" s="135"/>
      <c r="Q557" s="135"/>
      <c r="R557" s="135"/>
      <c r="S557" s="135"/>
      <c r="T557" s="135"/>
      <c r="U557" s="135"/>
    </row>
    <row r="558" spans="12:21" s="134" customFormat="1" x14ac:dyDescent="0.2">
      <c r="L558" s="135"/>
      <c r="M558" s="135"/>
      <c r="N558" s="135"/>
      <c r="O558" s="135"/>
      <c r="P558" s="135"/>
      <c r="Q558" s="135"/>
      <c r="R558" s="135"/>
      <c r="S558" s="135"/>
      <c r="T558" s="135"/>
      <c r="U558" s="135"/>
    </row>
    <row r="559" spans="12:21" s="134" customFormat="1" x14ac:dyDescent="0.2">
      <c r="L559" s="135"/>
      <c r="M559" s="135"/>
      <c r="N559" s="135"/>
      <c r="O559" s="135"/>
      <c r="P559" s="135"/>
      <c r="Q559" s="135"/>
      <c r="R559" s="135"/>
      <c r="S559" s="135"/>
      <c r="T559" s="135"/>
      <c r="U559" s="135"/>
    </row>
    <row r="560" spans="12:21" s="134" customFormat="1" x14ac:dyDescent="0.2">
      <c r="L560" s="135"/>
      <c r="M560" s="135"/>
      <c r="N560" s="135"/>
      <c r="O560" s="135"/>
      <c r="P560" s="135"/>
      <c r="Q560" s="135"/>
      <c r="R560" s="135"/>
      <c r="S560" s="135"/>
      <c r="T560" s="135"/>
      <c r="U560" s="135"/>
    </row>
    <row r="561" spans="12:21" s="134" customFormat="1" x14ac:dyDescent="0.2">
      <c r="L561" s="135"/>
      <c r="M561" s="135"/>
      <c r="N561" s="135"/>
      <c r="O561" s="135"/>
      <c r="P561" s="135"/>
      <c r="Q561" s="135"/>
      <c r="R561" s="135"/>
      <c r="S561" s="135"/>
      <c r="T561" s="135"/>
      <c r="U561" s="135"/>
    </row>
    <row r="562" spans="12:21" s="134" customFormat="1" x14ac:dyDescent="0.2">
      <c r="L562" s="135"/>
      <c r="M562" s="135"/>
      <c r="N562" s="135"/>
      <c r="O562" s="135"/>
      <c r="P562" s="135"/>
      <c r="Q562" s="135"/>
      <c r="R562" s="135"/>
      <c r="S562" s="135"/>
      <c r="T562" s="135"/>
      <c r="U562" s="135"/>
    </row>
    <row r="563" spans="12:21" s="134" customFormat="1" x14ac:dyDescent="0.2">
      <c r="L563" s="135"/>
      <c r="M563" s="135"/>
      <c r="N563" s="135"/>
      <c r="O563" s="135"/>
      <c r="P563" s="135"/>
      <c r="Q563" s="135"/>
      <c r="R563" s="135"/>
      <c r="S563" s="135"/>
      <c r="T563" s="135"/>
      <c r="U563" s="135"/>
    </row>
    <row r="564" spans="12:21" s="134" customFormat="1" x14ac:dyDescent="0.2">
      <c r="L564" s="135"/>
      <c r="M564" s="135"/>
      <c r="N564" s="135"/>
      <c r="O564" s="135"/>
      <c r="P564" s="135"/>
      <c r="Q564" s="135"/>
      <c r="R564" s="135"/>
      <c r="S564" s="135"/>
      <c r="T564" s="135"/>
      <c r="U564" s="135"/>
    </row>
    <row r="565" spans="12:21" s="134" customFormat="1" x14ac:dyDescent="0.2">
      <c r="L565" s="135"/>
      <c r="M565" s="135"/>
      <c r="N565" s="135"/>
      <c r="O565" s="135"/>
      <c r="P565" s="135"/>
      <c r="Q565" s="135"/>
      <c r="R565" s="135"/>
      <c r="S565" s="135"/>
      <c r="T565" s="135"/>
      <c r="U565" s="135"/>
    </row>
    <row r="566" spans="12:21" s="134" customFormat="1" x14ac:dyDescent="0.2">
      <c r="L566" s="135"/>
      <c r="M566" s="135"/>
      <c r="N566" s="135"/>
      <c r="O566" s="135"/>
      <c r="P566" s="135"/>
      <c r="Q566" s="135"/>
      <c r="R566" s="135"/>
      <c r="S566" s="135"/>
      <c r="T566" s="135"/>
      <c r="U566" s="135"/>
    </row>
    <row r="567" spans="12:21" s="134" customFormat="1" x14ac:dyDescent="0.2">
      <c r="L567" s="135"/>
      <c r="M567" s="135"/>
      <c r="N567" s="135"/>
      <c r="O567" s="135"/>
      <c r="P567" s="135"/>
      <c r="Q567" s="135"/>
      <c r="R567" s="135"/>
      <c r="S567" s="135"/>
      <c r="T567" s="135"/>
      <c r="U567" s="135"/>
    </row>
    <row r="568" spans="12:21" s="134" customFormat="1" x14ac:dyDescent="0.2">
      <c r="L568" s="135"/>
      <c r="M568" s="135"/>
      <c r="N568" s="135"/>
      <c r="O568" s="135"/>
      <c r="P568" s="135"/>
      <c r="Q568" s="135"/>
      <c r="R568" s="135"/>
      <c r="S568" s="135"/>
      <c r="T568" s="135"/>
      <c r="U568" s="135"/>
    </row>
    <row r="569" spans="12:21" s="134" customFormat="1" x14ac:dyDescent="0.2">
      <c r="L569" s="135"/>
      <c r="M569" s="135"/>
      <c r="N569" s="135"/>
      <c r="O569" s="135"/>
      <c r="P569" s="135"/>
      <c r="Q569" s="135"/>
      <c r="R569" s="135"/>
      <c r="S569" s="135"/>
      <c r="T569" s="135"/>
      <c r="U569" s="135"/>
    </row>
    <row r="570" spans="12:21" s="134" customFormat="1" x14ac:dyDescent="0.2">
      <c r="L570" s="135"/>
      <c r="M570" s="135"/>
      <c r="N570" s="135"/>
      <c r="O570" s="135"/>
      <c r="P570" s="135"/>
      <c r="Q570" s="135"/>
      <c r="R570" s="135"/>
      <c r="S570" s="135"/>
      <c r="T570" s="135"/>
      <c r="U570" s="135"/>
    </row>
    <row r="571" spans="12:21" s="134" customFormat="1" x14ac:dyDescent="0.2">
      <c r="L571" s="135"/>
      <c r="M571" s="135"/>
      <c r="N571" s="135"/>
      <c r="O571" s="135"/>
      <c r="P571" s="135"/>
      <c r="Q571" s="135"/>
      <c r="R571" s="135"/>
      <c r="S571" s="135"/>
      <c r="T571" s="135"/>
      <c r="U571" s="135"/>
    </row>
    <row r="572" spans="12:21" s="134" customFormat="1" x14ac:dyDescent="0.2">
      <c r="L572" s="135"/>
      <c r="M572" s="135"/>
      <c r="N572" s="135"/>
      <c r="O572" s="135"/>
      <c r="P572" s="135"/>
      <c r="Q572" s="135"/>
      <c r="R572" s="135"/>
      <c r="S572" s="135"/>
      <c r="T572" s="135"/>
      <c r="U572" s="135"/>
    </row>
    <row r="573" spans="12:21" s="134" customFormat="1" x14ac:dyDescent="0.2">
      <c r="L573" s="135"/>
      <c r="M573" s="135"/>
      <c r="N573" s="135"/>
      <c r="O573" s="135"/>
      <c r="P573" s="135"/>
      <c r="Q573" s="135"/>
      <c r="R573" s="135"/>
      <c r="S573" s="135"/>
      <c r="T573" s="135"/>
      <c r="U573" s="135"/>
    </row>
    <row r="574" spans="12:21" s="134" customFormat="1" x14ac:dyDescent="0.2">
      <c r="L574" s="135"/>
      <c r="M574" s="135"/>
      <c r="N574" s="135"/>
      <c r="O574" s="135"/>
      <c r="P574" s="135"/>
      <c r="Q574" s="135"/>
      <c r="R574" s="135"/>
      <c r="S574" s="135"/>
      <c r="T574" s="135"/>
      <c r="U574" s="135"/>
    </row>
    <row r="575" spans="12:21" s="134" customFormat="1" x14ac:dyDescent="0.2">
      <c r="L575" s="135"/>
      <c r="M575" s="135"/>
      <c r="N575" s="135"/>
      <c r="O575" s="135"/>
      <c r="P575" s="135"/>
      <c r="Q575" s="135"/>
      <c r="R575" s="135"/>
      <c r="S575" s="135"/>
      <c r="T575" s="135"/>
      <c r="U575" s="135"/>
    </row>
    <row r="576" spans="12:21" s="134" customFormat="1" x14ac:dyDescent="0.2">
      <c r="L576" s="135"/>
      <c r="M576" s="135"/>
      <c r="N576" s="135"/>
      <c r="O576" s="135"/>
      <c r="P576" s="135"/>
      <c r="Q576" s="135"/>
      <c r="R576" s="135"/>
      <c r="S576" s="135"/>
      <c r="T576" s="135"/>
      <c r="U576" s="135"/>
    </row>
    <row r="577" spans="12:21" s="134" customFormat="1" x14ac:dyDescent="0.2">
      <c r="L577" s="135"/>
      <c r="M577" s="135"/>
      <c r="N577" s="135"/>
      <c r="O577" s="135"/>
      <c r="P577" s="135"/>
      <c r="Q577" s="135"/>
      <c r="R577" s="135"/>
      <c r="S577" s="135"/>
      <c r="T577" s="135"/>
      <c r="U577" s="135"/>
    </row>
    <row r="578" spans="12:21" s="134" customFormat="1" x14ac:dyDescent="0.2">
      <c r="L578" s="135"/>
      <c r="M578" s="135"/>
      <c r="N578" s="135"/>
      <c r="O578" s="135"/>
      <c r="P578" s="135"/>
      <c r="Q578" s="135"/>
      <c r="R578" s="135"/>
      <c r="S578" s="135"/>
      <c r="T578" s="135"/>
      <c r="U578" s="135"/>
    </row>
    <row r="579" spans="12:21" s="134" customFormat="1" x14ac:dyDescent="0.2">
      <c r="L579" s="135"/>
      <c r="M579" s="135"/>
      <c r="N579" s="135"/>
      <c r="O579" s="135"/>
      <c r="P579" s="135"/>
      <c r="Q579" s="135"/>
      <c r="R579" s="135"/>
      <c r="S579" s="135"/>
      <c r="T579" s="135"/>
      <c r="U579" s="135"/>
    </row>
    <row r="580" spans="12:21" s="134" customFormat="1" x14ac:dyDescent="0.2">
      <c r="L580" s="135"/>
      <c r="M580" s="135"/>
      <c r="N580" s="135"/>
      <c r="O580" s="135"/>
      <c r="P580" s="135"/>
      <c r="Q580" s="135"/>
      <c r="R580" s="135"/>
      <c r="S580" s="135"/>
      <c r="T580" s="135"/>
      <c r="U580" s="135"/>
    </row>
    <row r="581" spans="12:21" s="134" customFormat="1" x14ac:dyDescent="0.2">
      <c r="L581" s="135"/>
      <c r="M581" s="135"/>
      <c r="N581" s="135"/>
      <c r="O581" s="135"/>
      <c r="P581" s="135"/>
      <c r="Q581" s="135"/>
      <c r="R581" s="135"/>
      <c r="S581" s="135"/>
      <c r="T581" s="135"/>
      <c r="U581" s="135"/>
    </row>
    <row r="582" spans="12:21" s="134" customFormat="1" x14ac:dyDescent="0.2">
      <c r="L582" s="135"/>
      <c r="M582" s="135"/>
      <c r="N582" s="135"/>
      <c r="O582" s="135"/>
      <c r="P582" s="135"/>
      <c r="Q582" s="135"/>
      <c r="R582" s="135"/>
      <c r="S582" s="135"/>
      <c r="T582" s="135"/>
      <c r="U582" s="135"/>
    </row>
    <row r="583" spans="12:21" s="134" customFormat="1" x14ac:dyDescent="0.2">
      <c r="L583" s="135"/>
      <c r="M583" s="135"/>
      <c r="N583" s="135"/>
      <c r="O583" s="135"/>
      <c r="P583" s="135"/>
      <c r="Q583" s="135"/>
      <c r="R583" s="135"/>
      <c r="S583" s="135"/>
      <c r="T583" s="135"/>
      <c r="U583" s="135"/>
    </row>
    <row r="584" spans="12:21" s="134" customFormat="1" x14ac:dyDescent="0.2">
      <c r="L584" s="135"/>
      <c r="M584" s="135"/>
      <c r="N584" s="135"/>
      <c r="O584" s="135"/>
      <c r="P584" s="135"/>
      <c r="Q584" s="135"/>
      <c r="R584" s="135"/>
      <c r="S584" s="135"/>
      <c r="T584" s="135"/>
      <c r="U584" s="135"/>
    </row>
    <row r="585" spans="12:21" s="134" customFormat="1" x14ac:dyDescent="0.2">
      <c r="L585" s="135"/>
      <c r="M585" s="135"/>
      <c r="N585" s="135"/>
      <c r="O585" s="135"/>
      <c r="P585" s="135"/>
      <c r="Q585" s="135"/>
      <c r="R585" s="135"/>
      <c r="S585" s="135"/>
      <c r="T585" s="135"/>
      <c r="U585" s="135"/>
    </row>
    <row r="586" spans="12:21" s="134" customFormat="1" x14ac:dyDescent="0.2">
      <c r="L586" s="135"/>
      <c r="M586" s="135"/>
      <c r="N586" s="135"/>
      <c r="O586" s="135"/>
      <c r="P586" s="135"/>
      <c r="Q586" s="135"/>
      <c r="R586" s="135"/>
      <c r="S586" s="135"/>
      <c r="T586" s="135"/>
      <c r="U586" s="135"/>
    </row>
    <row r="587" spans="12:21" s="134" customFormat="1" x14ac:dyDescent="0.2">
      <c r="L587" s="135"/>
      <c r="M587" s="135"/>
      <c r="N587" s="135"/>
      <c r="O587" s="135"/>
      <c r="P587" s="135"/>
      <c r="Q587" s="135"/>
      <c r="R587" s="135"/>
      <c r="S587" s="135"/>
      <c r="T587" s="135"/>
      <c r="U587" s="135"/>
    </row>
    <row r="588" spans="12:21" s="134" customFormat="1" x14ac:dyDescent="0.2">
      <c r="L588" s="135"/>
      <c r="M588" s="135"/>
      <c r="N588" s="135"/>
      <c r="O588" s="135"/>
      <c r="P588" s="135"/>
      <c r="Q588" s="135"/>
      <c r="R588" s="135"/>
      <c r="S588" s="135"/>
      <c r="T588" s="135"/>
      <c r="U588" s="135"/>
    </row>
    <row r="589" spans="12:21" s="134" customFormat="1" x14ac:dyDescent="0.2">
      <c r="L589" s="135"/>
      <c r="M589" s="135"/>
      <c r="N589" s="135"/>
      <c r="O589" s="135"/>
      <c r="P589" s="135"/>
      <c r="Q589" s="135"/>
      <c r="R589" s="135"/>
      <c r="S589" s="135"/>
      <c r="T589" s="135"/>
      <c r="U589" s="135"/>
    </row>
    <row r="590" spans="12:21" s="134" customFormat="1" x14ac:dyDescent="0.2">
      <c r="L590" s="135"/>
      <c r="M590" s="135"/>
      <c r="N590" s="135"/>
      <c r="O590" s="135"/>
      <c r="P590" s="135"/>
      <c r="Q590" s="135"/>
      <c r="R590" s="135"/>
      <c r="S590" s="135"/>
      <c r="T590" s="135"/>
      <c r="U590" s="135"/>
    </row>
    <row r="591" spans="12:21" s="134" customFormat="1" x14ac:dyDescent="0.2">
      <c r="L591" s="135"/>
      <c r="M591" s="135"/>
      <c r="N591" s="135"/>
      <c r="O591" s="135"/>
      <c r="P591" s="135"/>
      <c r="Q591" s="135"/>
      <c r="R591" s="135"/>
      <c r="S591" s="135"/>
      <c r="T591" s="135"/>
      <c r="U591" s="135"/>
    </row>
    <row r="592" spans="12:21" s="134" customFormat="1" x14ac:dyDescent="0.2">
      <c r="L592" s="135"/>
      <c r="M592" s="135"/>
      <c r="N592" s="135"/>
      <c r="O592" s="135"/>
      <c r="P592" s="135"/>
      <c r="Q592" s="135"/>
      <c r="R592" s="135"/>
      <c r="S592" s="135"/>
      <c r="T592" s="135"/>
      <c r="U592" s="135"/>
    </row>
    <row r="593" spans="12:21" s="134" customFormat="1" x14ac:dyDescent="0.2">
      <c r="L593" s="135"/>
      <c r="M593" s="135"/>
      <c r="N593" s="135"/>
      <c r="O593" s="135"/>
      <c r="P593" s="135"/>
      <c r="Q593" s="135"/>
      <c r="R593" s="135"/>
      <c r="S593" s="135"/>
      <c r="T593" s="135"/>
      <c r="U593" s="135"/>
    </row>
    <row r="594" spans="12:21" s="134" customFormat="1" x14ac:dyDescent="0.2">
      <c r="L594" s="135"/>
      <c r="M594" s="135"/>
      <c r="N594" s="135"/>
      <c r="O594" s="135"/>
      <c r="P594" s="135"/>
      <c r="Q594" s="135"/>
      <c r="R594" s="135"/>
      <c r="S594" s="135"/>
      <c r="T594" s="135"/>
      <c r="U594" s="135"/>
    </row>
    <row r="595" spans="12:21" s="134" customFormat="1" x14ac:dyDescent="0.2">
      <c r="L595" s="135"/>
      <c r="M595" s="135"/>
      <c r="N595" s="135"/>
      <c r="O595" s="135"/>
      <c r="P595" s="135"/>
      <c r="Q595" s="135"/>
      <c r="R595" s="135"/>
      <c r="S595" s="135"/>
      <c r="T595" s="135"/>
      <c r="U595" s="135"/>
    </row>
    <row r="596" spans="12:21" s="134" customFormat="1" x14ac:dyDescent="0.2">
      <c r="L596" s="135"/>
      <c r="M596" s="135"/>
      <c r="N596" s="135"/>
      <c r="O596" s="135"/>
      <c r="P596" s="135"/>
      <c r="Q596" s="135"/>
      <c r="R596" s="135"/>
      <c r="S596" s="135"/>
      <c r="T596" s="135"/>
      <c r="U596" s="135"/>
    </row>
    <row r="597" spans="12:21" s="134" customFormat="1" x14ac:dyDescent="0.2">
      <c r="L597" s="135"/>
      <c r="M597" s="135"/>
      <c r="N597" s="135"/>
      <c r="O597" s="135"/>
      <c r="P597" s="135"/>
      <c r="Q597" s="135"/>
      <c r="R597" s="135"/>
      <c r="S597" s="135"/>
      <c r="T597" s="135"/>
      <c r="U597" s="135"/>
    </row>
    <row r="598" spans="12:21" s="134" customFormat="1" x14ac:dyDescent="0.2">
      <c r="L598" s="135"/>
      <c r="M598" s="135"/>
      <c r="N598" s="135"/>
      <c r="O598" s="135"/>
      <c r="P598" s="135"/>
      <c r="Q598" s="135"/>
      <c r="R598" s="135"/>
      <c r="S598" s="135"/>
      <c r="T598" s="135"/>
      <c r="U598" s="135"/>
    </row>
    <row r="599" spans="12:21" s="134" customFormat="1" x14ac:dyDescent="0.2">
      <c r="L599" s="135"/>
      <c r="M599" s="135"/>
      <c r="N599" s="135"/>
      <c r="O599" s="135"/>
      <c r="P599" s="135"/>
      <c r="Q599" s="135"/>
      <c r="R599" s="135"/>
      <c r="S599" s="135"/>
      <c r="T599" s="135"/>
      <c r="U599" s="135"/>
    </row>
    <row r="600" spans="12:21" s="134" customFormat="1" x14ac:dyDescent="0.2">
      <c r="L600" s="135"/>
      <c r="M600" s="135"/>
      <c r="N600" s="135"/>
      <c r="O600" s="135"/>
      <c r="P600" s="135"/>
      <c r="Q600" s="135"/>
      <c r="R600" s="135"/>
      <c r="S600" s="135"/>
      <c r="T600" s="135"/>
      <c r="U600" s="135"/>
    </row>
    <row r="601" spans="12:21" s="134" customFormat="1" x14ac:dyDescent="0.2">
      <c r="L601" s="135"/>
      <c r="M601" s="135"/>
      <c r="N601" s="135"/>
      <c r="O601" s="135"/>
      <c r="P601" s="135"/>
      <c r="Q601" s="135"/>
      <c r="R601" s="135"/>
      <c r="S601" s="135"/>
      <c r="T601" s="135"/>
      <c r="U601" s="135"/>
    </row>
    <row r="602" spans="12:21" s="134" customFormat="1" x14ac:dyDescent="0.2">
      <c r="L602" s="135"/>
      <c r="M602" s="135"/>
      <c r="N602" s="135"/>
      <c r="O602" s="135"/>
      <c r="P602" s="135"/>
      <c r="Q602" s="135"/>
      <c r="R602" s="135"/>
      <c r="S602" s="135"/>
      <c r="T602" s="135"/>
      <c r="U602" s="135"/>
    </row>
    <row r="603" spans="12:21" s="134" customFormat="1" x14ac:dyDescent="0.2">
      <c r="L603" s="135"/>
      <c r="M603" s="135"/>
      <c r="N603" s="135"/>
      <c r="O603" s="135"/>
      <c r="P603" s="135"/>
      <c r="Q603" s="135"/>
      <c r="R603" s="135"/>
      <c r="S603" s="135"/>
      <c r="T603" s="135"/>
      <c r="U603" s="135"/>
    </row>
    <row r="604" spans="12:21" s="134" customFormat="1" x14ac:dyDescent="0.2">
      <c r="L604" s="135"/>
      <c r="M604" s="135"/>
      <c r="N604" s="135"/>
      <c r="O604" s="135"/>
      <c r="P604" s="135"/>
      <c r="Q604" s="135"/>
      <c r="R604" s="135"/>
      <c r="S604" s="135"/>
      <c r="T604" s="135"/>
      <c r="U604" s="135"/>
    </row>
    <row r="605" spans="12:21" s="134" customFormat="1" x14ac:dyDescent="0.2">
      <c r="L605" s="135"/>
      <c r="M605" s="135"/>
      <c r="N605" s="135"/>
      <c r="O605" s="135"/>
      <c r="P605" s="135"/>
      <c r="Q605" s="135"/>
      <c r="R605" s="135"/>
      <c r="S605" s="135"/>
      <c r="T605" s="135"/>
      <c r="U605" s="135"/>
    </row>
    <row r="606" spans="12:21" s="134" customFormat="1" x14ac:dyDescent="0.2">
      <c r="L606" s="135"/>
      <c r="M606" s="135"/>
      <c r="N606" s="135"/>
      <c r="O606" s="135"/>
      <c r="P606" s="135"/>
      <c r="Q606" s="135"/>
      <c r="R606" s="135"/>
      <c r="S606" s="135"/>
      <c r="T606" s="135"/>
      <c r="U606" s="135"/>
    </row>
    <row r="607" spans="12:21" s="134" customFormat="1" x14ac:dyDescent="0.2">
      <c r="L607" s="135"/>
      <c r="M607" s="135"/>
      <c r="N607" s="135"/>
      <c r="O607" s="135"/>
      <c r="P607" s="135"/>
      <c r="Q607" s="135"/>
      <c r="R607" s="135"/>
      <c r="S607" s="135"/>
      <c r="T607" s="135"/>
      <c r="U607" s="135"/>
    </row>
    <row r="608" spans="12:21" s="134" customFormat="1" x14ac:dyDescent="0.2">
      <c r="L608" s="135"/>
      <c r="M608" s="135"/>
      <c r="N608" s="135"/>
      <c r="O608" s="135"/>
      <c r="P608" s="135"/>
      <c r="Q608" s="135"/>
      <c r="R608" s="135"/>
      <c r="S608" s="135"/>
      <c r="T608" s="135"/>
      <c r="U608" s="135"/>
    </row>
    <row r="609" spans="12:21" s="134" customFormat="1" x14ac:dyDescent="0.2">
      <c r="L609" s="135"/>
      <c r="M609" s="135"/>
      <c r="N609" s="135"/>
      <c r="O609" s="135"/>
      <c r="P609" s="135"/>
      <c r="Q609" s="135"/>
      <c r="R609" s="135"/>
      <c r="S609" s="135"/>
      <c r="T609" s="135"/>
      <c r="U609" s="135"/>
    </row>
    <row r="610" spans="12:21" s="134" customFormat="1" x14ac:dyDescent="0.2">
      <c r="L610" s="135"/>
      <c r="M610" s="135"/>
      <c r="N610" s="135"/>
      <c r="O610" s="135"/>
      <c r="P610" s="135"/>
      <c r="Q610" s="135"/>
      <c r="R610" s="135"/>
      <c r="S610" s="135"/>
      <c r="T610" s="135"/>
      <c r="U610" s="135"/>
    </row>
    <row r="611" spans="12:21" s="134" customFormat="1" x14ac:dyDescent="0.2">
      <c r="L611" s="135"/>
      <c r="M611" s="135"/>
      <c r="N611" s="135"/>
      <c r="O611" s="135"/>
      <c r="P611" s="135"/>
      <c r="Q611" s="135"/>
      <c r="R611" s="135"/>
      <c r="S611" s="135"/>
      <c r="T611" s="135"/>
      <c r="U611" s="135"/>
    </row>
    <row r="612" spans="12:21" s="134" customFormat="1" x14ac:dyDescent="0.2">
      <c r="L612" s="135"/>
      <c r="M612" s="135"/>
      <c r="N612" s="135"/>
      <c r="O612" s="135"/>
      <c r="P612" s="135"/>
      <c r="Q612" s="135"/>
      <c r="R612" s="135"/>
      <c r="S612" s="135"/>
      <c r="T612" s="135"/>
      <c r="U612" s="135"/>
    </row>
    <row r="613" spans="12:21" s="134" customFormat="1" x14ac:dyDescent="0.2">
      <c r="L613" s="135"/>
      <c r="M613" s="135"/>
      <c r="N613" s="135"/>
      <c r="O613" s="135"/>
      <c r="P613" s="135"/>
      <c r="Q613" s="135"/>
      <c r="R613" s="135"/>
      <c r="S613" s="135"/>
      <c r="T613" s="135"/>
      <c r="U613" s="135"/>
    </row>
  </sheetData>
  <mergeCells count="16">
    <mergeCell ref="D30:H30"/>
    <mergeCell ref="C31:H31"/>
    <mergeCell ref="C11:G11"/>
    <mergeCell ref="C10:G10"/>
    <mergeCell ref="C23:G23"/>
    <mergeCell ref="C24:G24"/>
    <mergeCell ref="C18:H18"/>
    <mergeCell ref="F17:H17"/>
    <mergeCell ref="M5:S5"/>
    <mergeCell ref="M6:S6"/>
    <mergeCell ref="M7:S7"/>
    <mergeCell ref="L4:S4"/>
    <mergeCell ref="E1:G1"/>
    <mergeCell ref="E2:G2"/>
    <mergeCell ref="E3:G3"/>
    <mergeCell ref="E4:G4"/>
  </mergeCells>
  <pageMargins left="0.7" right="0.7" top="0.75" bottom="0.75" header="0.3" footer="0.3"/>
  <pageSetup scale="79" orientation="portrait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722"/>
  <sheetViews>
    <sheetView topLeftCell="A11" zoomScaleNormal="100" workbookViewId="0">
      <selection activeCell="C13" sqref="C13"/>
    </sheetView>
  </sheetViews>
  <sheetFormatPr defaultColWidth="9.140625" defaultRowHeight="12.75" x14ac:dyDescent="0.2"/>
  <cols>
    <col min="1" max="11" width="8.5703125" style="2" customWidth="1"/>
    <col min="12" max="13" width="11.42578125" style="2" customWidth="1"/>
    <col min="14" max="14" width="9.5703125" style="2" customWidth="1"/>
    <col min="15" max="22" width="11.42578125" style="2" customWidth="1"/>
    <col min="23" max="23" width="15.5703125" style="2" bestFit="1" customWidth="1"/>
    <col min="24" max="26" width="11.42578125" style="2" customWidth="1"/>
    <col min="27" max="16384" width="9.140625" style="2"/>
  </cols>
  <sheetData>
    <row r="1" spans="1:26" ht="15" customHeight="1" x14ac:dyDescent="0.25">
      <c r="A1" s="22"/>
      <c r="B1" s="23"/>
      <c r="C1" s="23"/>
      <c r="D1" s="197" t="s">
        <v>131</v>
      </c>
      <c r="E1" s="362" t="str">
        <f>+IF('Site Ground Motions'!E1="","",'Site Ground Motions'!E1)</f>
        <v/>
      </c>
      <c r="F1" s="362"/>
      <c r="G1" s="362"/>
      <c r="H1" s="362"/>
      <c r="I1" s="362"/>
      <c r="J1" s="362"/>
      <c r="K1" s="219" t="s">
        <v>132</v>
      </c>
      <c r="L1" s="206" t="str">
        <f>+IF('Site Ground Motions'!I1="","",'Site Ground Motions'!I1)</f>
        <v/>
      </c>
      <c r="M1" s="198" t="s">
        <v>133</v>
      </c>
      <c r="N1" s="24"/>
      <c r="O1" s="25" t="s">
        <v>134</v>
      </c>
      <c r="P1" s="26"/>
      <c r="Q1" s="24"/>
      <c r="R1" s="24"/>
      <c r="S1" s="24"/>
      <c r="T1" s="24"/>
      <c r="U1" s="24"/>
      <c r="V1" s="111"/>
      <c r="W1" s="204" t="s">
        <v>178</v>
      </c>
      <c r="X1" s="205">
        <f>'Site Ground Motions'!X1</f>
        <v>2.1</v>
      </c>
      <c r="Y1" s="111"/>
      <c r="Z1" s="111"/>
    </row>
    <row r="2" spans="1:26" ht="15" customHeight="1" x14ac:dyDescent="0.2">
      <c r="A2" s="28"/>
      <c r="B2" s="29"/>
      <c r="C2" s="29"/>
      <c r="D2" s="197" t="s">
        <v>135</v>
      </c>
      <c r="E2" s="362" t="str">
        <f>+IF('Site Ground Motions'!E2="","",'Site Ground Motions'!E2)</f>
        <v/>
      </c>
      <c r="F2" s="362"/>
      <c r="G2" s="362"/>
      <c r="H2" s="362"/>
      <c r="I2" s="362"/>
      <c r="J2" s="362"/>
      <c r="K2" s="219" t="s">
        <v>136</v>
      </c>
      <c r="L2" s="220" t="str">
        <f>+IF('Site Ground Motions'!I2="","",'Site Ground Motions'!I2)</f>
        <v/>
      </c>
      <c r="M2" s="201" t="s">
        <v>181</v>
      </c>
      <c r="N2" s="24"/>
      <c r="O2" s="26" t="s">
        <v>137</v>
      </c>
      <c r="P2" s="26"/>
      <c r="Q2" s="24"/>
      <c r="R2" s="24"/>
      <c r="S2" s="24"/>
      <c r="T2" s="24"/>
      <c r="U2" s="24"/>
      <c r="V2" s="111"/>
      <c r="W2" s="204" t="s">
        <v>179</v>
      </c>
      <c r="X2" s="215">
        <f>'Site Ground Motions'!X2</f>
        <v>45201</v>
      </c>
      <c r="Y2" s="111"/>
      <c r="Z2" s="111"/>
    </row>
    <row r="3" spans="1:26" ht="15" customHeight="1" x14ac:dyDescent="0.2">
      <c r="A3" s="28"/>
      <c r="B3" s="29"/>
      <c r="C3" s="29"/>
      <c r="D3" s="197" t="s">
        <v>138</v>
      </c>
      <c r="E3" s="362" t="str">
        <f>+IF('Site Ground Motions'!E3="","",'Site Ground Motions'!E3)</f>
        <v/>
      </c>
      <c r="F3" s="362"/>
      <c r="G3" s="362"/>
      <c r="H3" s="362"/>
      <c r="I3" s="362"/>
      <c r="J3" s="362"/>
      <c r="K3" s="219" t="s">
        <v>139</v>
      </c>
      <c r="L3" s="206" t="str">
        <f>+IF('Site Ground Motions'!I3="","",'Site Ground Motions'!I3)</f>
        <v/>
      </c>
      <c r="M3" s="198" t="s">
        <v>140</v>
      </c>
      <c r="N3" s="24"/>
      <c r="O3" s="30"/>
      <c r="P3" s="30"/>
      <c r="Q3" s="24"/>
      <c r="R3" s="24"/>
      <c r="S3" s="24"/>
      <c r="T3" s="24"/>
      <c r="U3" s="24"/>
      <c r="V3" s="111"/>
      <c r="W3" s="111"/>
      <c r="X3" s="111"/>
      <c r="Y3" s="111"/>
      <c r="Z3" s="111"/>
    </row>
    <row r="4" spans="1:26" ht="15" customHeight="1" x14ac:dyDescent="0.25">
      <c r="A4" s="31"/>
      <c r="B4" s="32"/>
      <c r="C4" s="32"/>
      <c r="D4" s="197" t="s">
        <v>141</v>
      </c>
      <c r="E4" s="362" t="s">
        <v>175</v>
      </c>
      <c r="F4" s="362"/>
      <c r="G4" s="362"/>
      <c r="H4" s="362"/>
      <c r="I4" s="362"/>
      <c r="J4" s="362"/>
      <c r="K4" s="219" t="s">
        <v>136</v>
      </c>
      <c r="L4" s="206" t="str">
        <f>+IF('Site Ground Motions'!I4="","",'Site Ground Motions'!I4)</f>
        <v/>
      </c>
      <c r="M4" s="221" t="str">
        <f>+IF('Site Ground Motions'!J4="","",'Site Ground Motions'!J4)</f>
        <v/>
      </c>
      <c r="N4" s="24"/>
      <c r="O4" s="339" t="s">
        <v>164</v>
      </c>
      <c r="P4" s="339"/>
      <c r="Q4" s="339"/>
      <c r="R4" s="339"/>
      <c r="S4" s="339"/>
      <c r="T4" s="339"/>
      <c r="U4" s="339"/>
      <c r="V4" s="339"/>
      <c r="W4" s="111"/>
      <c r="X4" s="111"/>
      <c r="Y4" s="111"/>
      <c r="Z4" s="111"/>
    </row>
    <row r="5" spans="1:26" ht="15" customHeight="1" x14ac:dyDescent="0.2">
      <c r="A5" s="7"/>
      <c r="M5" s="8"/>
      <c r="N5" s="24"/>
      <c r="O5" s="68"/>
      <c r="P5" s="317" t="s">
        <v>165</v>
      </c>
      <c r="Q5" s="318"/>
      <c r="R5" s="318"/>
      <c r="S5" s="318"/>
      <c r="T5" s="318"/>
      <c r="U5" s="318"/>
      <c r="V5" s="318"/>
      <c r="W5" s="111"/>
      <c r="X5" s="111"/>
      <c r="Y5" s="111"/>
      <c r="Z5" s="111"/>
    </row>
    <row r="6" spans="1:26" ht="15" customHeight="1" thickBot="1" x14ac:dyDescent="0.3">
      <c r="A6" s="45" t="s">
        <v>156</v>
      </c>
      <c r="B6" s="1"/>
      <c r="C6" s="1"/>
      <c r="D6" s="1"/>
      <c r="E6" s="1"/>
      <c r="F6" s="1"/>
      <c r="G6" s="1"/>
      <c r="H6" s="1"/>
      <c r="I6" s="1"/>
      <c r="J6" s="1"/>
      <c r="M6" s="8"/>
      <c r="N6" s="24"/>
      <c r="O6" s="38">
        <v>888</v>
      </c>
      <c r="P6" s="319" t="s">
        <v>166</v>
      </c>
      <c r="Q6" s="320"/>
      <c r="R6" s="320"/>
      <c r="S6" s="320"/>
      <c r="T6" s="320"/>
      <c r="U6" s="320"/>
      <c r="V6" s="320"/>
      <c r="W6" s="111"/>
      <c r="X6" s="111"/>
      <c r="Y6" s="111"/>
      <c r="Z6" s="111"/>
    </row>
    <row r="7" spans="1:26" ht="15" customHeight="1" x14ac:dyDescent="0.25">
      <c r="A7" s="7"/>
      <c r="M7" s="8"/>
      <c r="N7" s="24"/>
      <c r="O7" s="71">
        <v>1.05</v>
      </c>
      <c r="P7" s="320" t="s">
        <v>167</v>
      </c>
      <c r="Q7" s="320"/>
      <c r="R7" s="320"/>
      <c r="S7" s="320"/>
      <c r="T7" s="320"/>
      <c r="U7" s="320"/>
      <c r="V7" s="320"/>
      <c r="W7" s="111"/>
      <c r="X7" s="111"/>
      <c r="Y7" s="111"/>
      <c r="Z7" s="111"/>
    </row>
    <row r="8" spans="1:26" ht="15" customHeight="1" x14ac:dyDescent="0.2">
      <c r="A8" s="7"/>
      <c r="M8" s="8"/>
      <c r="N8" s="111"/>
      <c r="O8" s="111"/>
      <c r="P8" s="111"/>
      <c r="Q8" s="111"/>
      <c r="R8" s="111"/>
      <c r="S8" s="111"/>
      <c r="T8" s="111"/>
      <c r="U8" s="111"/>
      <c r="V8" s="111"/>
      <c r="W8" s="111"/>
      <c r="X8" s="111"/>
      <c r="Y8" s="111"/>
      <c r="Z8" s="111"/>
    </row>
    <row r="9" spans="1:26" ht="15" customHeight="1" x14ac:dyDescent="0.2">
      <c r="A9" s="7"/>
      <c r="C9" s="11" t="s">
        <v>87</v>
      </c>
      <c r="D9" s="39" t="s">
        <v>222</v>
      </c>
      <c r="F9" s="10" t="s">
        <v>157</v>
      </c>
      <c r="M9" s="8"/>
      <c r="N9" s="111"/>
      <c r="O9" s="111"/>
      <c r="P9" s="111"/>
      <c r="Q9" s="111"/>
      <c r="R9" s="111"/>
      <c r="S9" s="111"/>
      <c r="T9" s="111"/>
      <c r="U9" s="111"/>
      <c r="V9" s="111"/>
      <c r="W9" s="111"/>
      <c r="X9" s="111"/>
      <c r="Y9" s="111"/>
      <c r="Z9" s="111"/>
    </row>
    <row r="10" spans="1:26" ht="15" customHeight="1" x14ac:dyDescent="0.2">
      <c r="A10" s="7"/>
      <c r="C10" s="88" t="s">
        <v>15</v>
      </c>
      <c r="D10" s="39" t="s">
        <v>1</v>
      </c>
      <c r="F10" s="10" t="s">
        <v>158</v>
      </c>
      <c r="M10" s="8"/>
      <c r="N10" s="111"/>
      <c r="O10" s="111"/>
      <c r="P10" s="111"/>
      <c r="Q10" s="111"/>
      <c r="R10" s="111"/>
      <c r="S10" s="111"/>
      <c r="T10" s="111"/>
      <c r="U10" s="111"/>
      <c r="V10" s="116" t="s">
        <v>106</v>
      </c>
      <c r="W10" s="111"/>
      <c r="X10" s="111"/>
      <c r="Y10" s="111"/>
      <c r="Z10" s="111"/>
    </row>
    <row r="11" spans="1:26" ht="15" customHeight="1" x14ac:dyDescent="0.2">
      <c r="A11" s="7"/>
      <c r="M11" s="8"/>
      <c r="N11" s="111"/>
      <c r="O11" s="144" t="s">
        <v>14</v>
      </c>
      <c r="P11" s="145"/>
      <c r="Q11" s="145"/>
      <c r="R11" s="145"/>
      <c r="S11" s="145"/>
      <c r="T11" s="113"/>
      <c r="U11" s="111"/>
      <c r="V11" s="124">
        <f>'Site Ground Motions'!Q21</f>
        <v>0</v>
      </c>
      <c r="W11" s="146">
        <f ca="1">'Site Ground Motions'!R21</f>
        <v>0.67719493333333336</v>
      </c>
      <c r="X11" s="147">
        <f ca="1">+O13</f>
        <v>0.10418383589743591</v>
      </c>
      <c r="Y11" s="111"/>
      <c r="Z11" s="111"/>
    </row>
    <row r="12" spans="1:26" ht="15" customHeight="1" x14ac:dyDescent="0.2">
      <c r="A12" s="7"/>
      <c r="B12" s="2" t="s">
        <v>22</v>
      </c>
      <c r="M12" s="8"/>
      <c r="N12" s="111"/>
      <c r="O12" s="148"/>
      <c r="P12" s="111"/>
      <c r="Q12" s="111"/>
      <c r="R12" s="111"/>
      <c r="S12" s="111"/>
      <c r="T12" s="149"/>
      <c r="U12" s="111"/>
      <c r="V12" s="123">
        <f>'Site Ground Motions'!Q22</f>
        <v>0.4</v>
      </c>
      <c r="W12" s="150">
        <f ca="1">'Site Ground Motions'!R22</f>
        <v>0.67719493333333336</v>
      </c>
      <c r="X12" s="151">
        <f ca="1">+O13</f>
        <v>0.10418383589743591</v>
      </c>
      <c r="Y12" s="111"/>
      <c r="Z12" s="111"/>
    </row>
    <row r="13" spans="1:26" ht="15" customHeight="1" x14ac:dyDescent="0.3">
      <c r="A13" s="7"/>
      <c r="B13" s="88" t="s">
        <v>5</v>
      </c>
      <c r="C13" s="94">
        <f ca="1">'Site Ground Motions'!C21</f>
        <v>0.67719493333333336</v>
      </c>
      <c r="E13" s="88" t="s">
        <v>8</v>
      </c>
      <c r="F13" s="95">
        <f ca="1">'Site Ground Motions'!C24</f>
        <v>0.15257054492630584</v>
      </c>
      <c r="H13" s="88" t="s">
        <v>18</v>
      </c>
      <c r="I13" s="95">
        <f>'Site Ground Motions'!C33</f>
        <v>0.4</v>
      </c>
      <c r="K13" s="11"/>
      <c r="L13" s="90"/>
      <c r="M13" s="8"/>
      <c r="N13" s="111"/>
      <c r="O13" s="152">
        <f ca="1">IF(AND(D10="D",C14&gt;0.2),IF(I13 &lt; 1.5*F14, D24, IF(I13 &lt; F15, D26, D28)),IF(I13 &lt; F14, D24, IF(I13 &lt; F15, D25, D27)))</f>
        <v>0.10418383589743591</v>
      </c>
      <c r="P13" s="111" t="s">
        <v>95</v>
      </c>
      <c r="Q13" s="111"/>
      <c r="R13" s="111"/>
      <c r="S13" s="111"/>
      <c r="T13" s="149"/>
      <c r="U13" s="111"/>
      <c r="V13" s="125">
        <f>'Site Ground Motions'!Q23</f>
        <v>0.4</v>
      </c>
      <c r="W13" s="153">
        <f>'Site Ground Motions'!R23</f>
        <v>0</v>
      </c>
      <c r="X13" s="154">
        <f>W13 / $D$22</f>
        <v>0</v>
      </c>
      <c r="Y13" s="111"/>
      <c r="Z13" s="111"/>
    </row>
    <row r="14" spans="1:26" ht="15" customHeight="1" x14ac:dyDescent="0.3">
      <c r="A14" s="7"/>
      <c r="B14" s="88" t="s">
        <v>6</v>
      </c>
      <c r="C14" s="94">
        <f ca="1">'Site Ground Motions'!C22</f>
        <v>0.51660000000000006</v>
      </c>
      <c r="E14" s="88" t="s">
        <v>7</v>
      </c>
      <c r="F14" s="95">
        <f ca="1">'Site Ground Motions'!C25</f>
        <v>0.76285272463152909</v>
      </c>
      <c r="H14" s="88" t="s">
        <v>11</v>
      </c>
      <c r="I14" s="94">
        <f ca="1">'Site Ground Motions'!C39</f>
        <v>0.67719493333333336</v>
      </c>
      <c r="K14" s="11"/>
      <c r="L14" s="89"/>
      <c r="M14" s="8"/>
      <c r="N14" s="111"/>
      <c r="O14" s="155" t="str">
        <f>IF(I15 &gt;= 0.6, "Yes", "No")</f>
        <v>No</v>
      </c>
      <c r="P14" s="156" t="s">
        <v>93</v>
      </c>
      <c r="Q14" s="111"/>
      <c r="R14" s="111"/>
      <c r="S14" s="111"/>
      <c r="T14" s="149"/>
      <c r="U14" s="111"/>
      <c r="V14" s="116" t="s">
        <v>107</v>
      </c>
      <c r="W14" s="116"/>
      <c r="X14" s="116"/>
      <c r="Y14" s="111"/>
      <c r="Z14" s="111"/>
    </row>
    <row r="15" spans="1:26" ht="15" customHeight="1" x14ac:dyDescent="0.3">
      <c r="A15" s="7"/>
      <c r="B15" s="88"/>
      <c r="C15" s="89"/>
      <c r="E15" s="88" t="s">
        <v>39</v>
      </c>
      <c r="F15" s="96">
        <f>'Site Ground Motions'!C26</f>
        <v>16</v>
      </c>
      <c r="H15" s="88" t="s">
        <v>2</v>
      </c>
      <c r="I15" s="94">
        <f>'Site Ground Motions'!C13</f>
        <v>0.41</v>
      </c>
      <c r="K15" s="88"/>
      <c r="L15" s="89"/>
      <c r="M15" s="8"/>
      <c r="N15" s="111"/>
      <c r="O15" s="157">
        <f ca="1">IF(O14 = "No", D29, MAX(D29, D30))</f>
        <v>2.9796577066666666E-2</v>
      </c>
      <c r="P15" s="156" t="s">
        <v>96</v>
      </c>
      <c r="Q15" s="111"/>
      <c r="R15" s="111"/>
      <c r="S15" s="111"/>
      <c r="T15" s="149"/>
      <c r="U15" s="111"/>
      <c r="V15" s="124">
        <f>'Site Ground Motions'!L21</f>
        <v>0</v>
      </c>
      <c r="W15" s="146">
        <f ca="1">X15*$D$20</f>
        <v>0.19367775093333334</v>
      </c>
      <c r="X15" s="147">
        <f ca="1">MAX(D29:D30)</f>
        <v>2.9796577066666666E-2</v>
      </c>
      <c r="Y15" s="111"/>
      <c r="Z15" s="111"/>
    </row>
    <row r="16" spans="1:26" ht="15" customHeight="1" x14ac:dyDescent="0.2">
      <c r="A16" s="7"/>
      <c r="M16" s="8"/>
      <c r="N16" s="111"/>
      <c r="O16" s="158"/>
      <c r="P16" s="111"/>
      <c r="Q16" s="111"/>
      <c r="R16" s="111"/>
      <c r="S16" s="111"/>
      <c r="T16" s="149"/>
      <c r="U16" s="111"/>
      <c r="V16" s="125">
        <f ca="1">MAX(O23:O58)</f>
        <v>4.4000000000000012</v>
      </c>
      <c r="W16" s="153">
        <f ca="1">X16*$D$20</f>
        <v>0.19367775093333334</v>
      </c>
      <c r="X16" s="154">
        <f ca="1">MAX(D29:D30)</f>
        <v>2.9796577066666666E-2</v>
      </c>
      <c r="Y16" s="111"/>
      <c r="Z16" s="111"/>
    </row>
    <row r="17" spans="1:26" ht="15" customHeight="1" x14ac:dyDescent="0.2">
      <c r="A17" s="7"/>
      <c r="M17" s="8"/>
      <c r="N17" s="111"/>
      <c r="O17" s="159">
        <f ca="1">MAX(O13, O15)</f>
        <v>0.10418383589743591</v>
      </c>
      <c r="P17" s="160" t="s">
        <v>44</v>
      </c>
      <c r="Q17" s="111"/>
      <c r="R17" s="111"/>
      <c r="S17" s="111"/>
      <c r="T17" s="149"/>
      <c r="U17" s="111"/>
      <c r="V17" s="111"/>
      <c r="W17" s="111"/>
      <c r="X17" s="111"/>
      <c r="Y17" s="111"/>
      <c r="Z17" s="111"/>
    </row>
    <row r="18" spans="1:26" ht="15" customHeight="1" x14ac:dyDescent="0.3">
      <c r="A18" s="7"/>
      <c r="C18" s="2" t="s">
        <v>16</v>
      </c>
      <c r="F18" s="10" t="s">
        <v>183</v>
      </c>
      <c r="M18" s="8"/>
      <c r="N18" s="111"/>
      <c r="O18" s="148"/>
      <c r="P18" s="111"/>
      <c r="Q18" s="111"/>
      <c r="R18" s="111"/>
      <c r="S18" s="111"/>
      <c r="T18" s="149"/>
      <c r="U18" s="111"/>
      <c r="V18" s="111"/>
      <c r="W18" s="111"/>
      <c r="X18" s="111"/>
      <c r="Y18" s="111"/>
      <c r="Z18" s="111"/>
    </row>
    <row r="19" spans="1:26" ht="15" customHeight="1" x14ac:dyDescent="0.2">
      <c r="A19" s="7"/>
      <c r="M19" s="8"/>
      <c r="N19" s="111"/>
      <c r="O19" s="161"/>
      <c r="P19" s="162"/>
      <c r="Q19" s="162"/>
      <c r="R19" s="162"/>
      <c r="S19" s="162"/>
      <c r="T19" s="163"/>
      <c r="U19" s="111"/>
      <c r="V19" s="111"/>
      <c r="W19" s="111"/>
      <c r="X19" s="111"/>
      <c r="Y19" s="111"/>
      <c r="Z19" s="111"/>
    </row>
    <row r="20" spans="1:26" ht="15" customHeight="1" x14ac:dyDescent="0.2">
      <c r="A20" s="7"/>
      <c r="C20" s="88" t="s">
        <v>17</v>
      </c>
      <c r="D20" s="222">
        <v>6.5</v>
      </c>
      <c r="F20" s="10" t="s">
        <v>184</v>
      </c>
      <c r="L20" s="301"/>
      <c r="M20" s="8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</row>
    <row r="21" spans="1:26" ht="15" customHeight="1" x14ac:dyDescent="0.3">
      <c r="A21" s="7"/>
      <c r="C21" s="11" t="s">
        <v>88</v>
      </c>
      <c r="D21" s="93">
        <v>1</v>
      </c>
      <c r="F21" s="10" t="s">
        <v>185</v>
      </c>
      <c r="M21" s="8"/>
      <c r="N21" s="111"/>
      <c r="O21" s="112"/>
      <c r="P21" s="164" t="s">
        <v>14</v>
      </c>
      <c r="Q21" s="113"/>
      <c r="R21" s="111"/>
      <c r="S21" s="111"/>
      <c r="T21" s="111"/>
      <c r="U21" s="111"/>
      <c r="V21" s="112"/>
      <c r="W21" s="113"/>
      <c r="X21" s="111"/>
      <c r="Y21" s="111"/>
      <c r="Z21" s="111"/>
    </row>
    <row r="22" spans="1:26" ht="15" customHeight="1" thickBot="1" x14ac:dyDescent="0.35">
      <c r="A22" s="7"/>
      <c r="C22" s="11" t="s">
        <v>89</v>
      </c>
      <c r="D22" s="98">
        <f>D20 / D21</f>
        <v>6.5</v>
      </c>
      <c r="M22" s="8"/>
      <c r="N22" s="111"/>
      <c r="O22" s="165" t="s">
        <v>12</v>
      </c>
      <c r="P22" s="166" t="s">
        <v>21</v>
      </c>
      <c r="Q22" s="167" t="s">
        <v>20</v>
      </c>
      <c r="R22" s="111"/>
      <c r="S22" s="111"/>
      <c r="T22" s="111"/>
      <c r="U22" s="111"/>
      <c r="V22" s="168" t="s">
        <v>12</v>
      </c>
      <c r="W22" s="169" t="s">
        <v>20</v>
      </c>
      <c r="X22" s="111"/>
      <c r="Y22" s="111"/>
      <c r="Z22" s="111"/>
    </row>
    <row r="23" spans="1:26" ht="15" customHeight="1" x14ac:dyDescent="0.2">
      <c r="A23" s="7"/>
      <c r="M23" s="8"/>
      <c r="N23" s="111"/>
      <c r="O23" s="123">
        <f>'Site Ground Motions'!L21</f>
        <v>0</v>
      </c>
      <c r="P23" s="150" t="s">
        <v>43</v>
      </c>
      <c r="Q23" s="170">
        <f ca="1">D24</f>
        <v>0.10418383589743591</v>
      </c>
      <c r="R23" s="116"/>
      <c r="S23" s="116"/>
      <c r="T23" s="116"/>
      <c r="U23" s="116"/>
      <c r="V23" s="121">
        <f>O23</f>
        <v>0</v>
      </c>
      <c r="W23" s="171">
        <f ca="1">Q23</f>
        <v>0.10418383589743591</v>
      </c>
      <c r="X23" s="111"/>
      <c r="Y23" s="111"/>
      <c r="Z23" s="111"/>
    </row>
    <row r="24" spans="1:26" ht="15" customHeight="1" x14ac:dyDescent="0.3">
      <c r="A24" s="7"/>
      <c r="C24" s="88" t="s">
        <v>45</v>
      </c>
      <c r="D24" s="99">
        <f ca="1">C13 / D22</f>
        <v>0.10418383589743591</v>
      </c>
      <c r="F24" s="10" t="s">
        <v>90</v>
      </c>
      <c r="M24" s="8"/>
      <c r="N24" s="111"/>
      <c r="O24" s="121">
        <f ca="1">'Site Ground Motions'!L22</f>
        <v>0.15257054492630584</v>
      </c>
      <c r="P24" s="172">
        <f ca="1">'Site Ground Motions'!M22</f>
        <v>0.67719493333333336</v>
      </c>
      <c r="Q24" s="171">
        <f ca="1">P24 / $D$22</f>
        <v>0.10418383589743591</v>
      </c>
      <c r="R24" s="116"/>
      <c r="S24" s="116"/>
      <c r="T24" s="116"/>
      <c r="U24" s="116"/>
      <c r="V24" s="121">
        <f ca="1">O24</f>
        <v>0.15257054492630584</v>
      </c>
      <c r="W24" s="171">
        <f ca="1">Q24</f>
        <v>0.10418383589743591</v>
      </c>
      <c r="X24" s="111"/>
      <c r="Y24" s="111"/>
      <c r="Z24" s="111"/>
    </row>
    <row r="25" spans="1:26" ht="15" customHeight="1" x14ac:dyDescent="0.3">
      <c r="A25" s="7"/>
      <c r="C25" s="11" t="s">
        <v>94</v>
      </c>
      <c r="D25" s="99">
        <f ca="1">C14 / I13 / D22</f>
        <v>0.1986923076923077</v>
      </c>
      <c r="F25" s="10" t="s">
        <v>91</v>
      </c>
      <c r="M25" s="8"/>
      <c r="N25" s="111"/>
      <c r="O25" s="121">
        <f ca="1">+IF(AND(D10="D",C14&gt;=0.2),1.5*'Site Ground Motions'!L23,'Site Ground Motions'!L23)</f>
        <v>1.1442790869472936</v>
      </c>
      <c r="P25" s="172">
        <f ca="1">'Site Ground Motions'!M23</f>
        <v>0.67719493333333336</v>
      </c>
      <c r="Q25" s="171">
        <f t="shared" ref="Q25:Q58" ca="1" si="0">P25 / $D$22</f>
        <v>0.10418383589743591</v>
      </c>
      <c r="R25" s="116"/>
      <c r="S25" s="116"/>
      <c r="T25" s="116"/>
      <c r="U25" s="116"/>
      <c r="V25" s="121">
        <f ca="1">O25</f>
        <v>1.1442790869472936</v>
      </c>
      <c r="W25" s="171">
        <f ca="1">Q25</f>
        <v>0.10418383589743591</v>
      </c>
      <c r="X25" s="111"/>
      <c r="Y25" s="111"/>
      <c r="Z25" s="111"/>
    </row>
    <row r="26" spans="1:26" ht="15" customHeight="1" x14ac:dyDescent="0.3">
      <c r="A26" s="7"/>
      <c r="C26" s="11" t="s">
        <v>94</v>
      </c>
      <c r="D26" s="99">
        <f ca="1">1.5*C14 / I13 / D22</f>
        <v>0.29803846153846159</v>
      </c>
      <c r="F26" s="10" t="s">
        <v>120</v>
      </c>
      <c r="M26" s="8"/>
      <c r="N26" s="111"/>
      <c r="O26" s="124">
        <f ca="1">ROUNDUP(O25 + 0.00001,1)</f>
        <v>1.2000000000000002</v>
      </c>
      <c r="P26" s="146">
        <f ca="1">IF(AND($D$10="D",$C$14&gt;=0.2),'Site Ground Motions'!O24,'Site Ground Motions'!M24)</f>
        <v>0.64575000000000005</v>
      </c>
      <c r="Q26" s="173">
        <f ca="1">P26 / $D$22</f>
        <v>9.9346153846153848E-2</v>
      </c>
      <c r="R26" s="116"/>
      <c r="S26" s="116"/>
      <c r="T26" s="116"/>
      <c r="U26" s="116"/>
      <c r="V26" s="124">
        <f t="shared" ref="V26:V58" ca="1" si="1">O26</f>
        <v>1.2000000000000002</v>
      </c>
      <c r="W26" s="173">
        <f ca="1">IF(AND($D$10="D",$C$14&gt;=0.2),IF(V26&lt;$F$15,IF($I$15&gt;0.6,MAX(0.044*$C$13*$D$21,0.5*$I$15/($D$20/$D$21),1.5*$C$14/V26/($D$20/$D$21)),MAX(0.044*$C$13*$D$21,1.5*$C$14/V26/($D$20/$D$21))),IF($I$15&gt;0.6,MAX(0.044*$C$13*$D$21,0.5*$I$15/($D$20/$D$21),1.5*$C$14*$F$15/V26^2/($D$20/$D$21)),MAX(0.044*$C$13*$D$21,1.5*$C$14*$F$15/V26^2/($D$20/$D$21)))),IF(V26&lt;$F$15,IF($I$15&gt;0.6,MAX(0.044*$C$13*$D$21,0.5*$I$15/($D$20/$D$21),$C$14/V26/($D$20/$D$21)),MAX(0.044*$C$13*$D$21,$C$14/V26/($D$20/$D$21))),IF($I$15&gt;0.6,MAX(0.044*$C$13*$D$21,0.5*$I$15/($D$20/$D$21),$C$14*$F$15/V26^2/($D$20/$D$21)),MAX(0.044*$C$13*$D$21,$C$14*$F$15/V26^2/($D$20/$D$21)))))</f>
        <v>9.9346153846153848E-2</v>
      </c>
      <c r="X26" s="111"/>
      <c r="Y26" s="111"/>
      <c r="Z26" s="111"/>
    </row>
    <row r="27" spans="1:26" ht="15" customHeight="1" x14ac:dyDescent="0.3">
      <c r="A27" s="7"/>
      <c r="C27" s="11" t="s">
        <v>94</v>
      </c>
      <c r="D27" s="99">
        <f ca="1">C14 * F15 / I13^2 / D22</f>
        <v>7.9476923076923072</v>
      </c>
      <c r="F27" s="10" t="s">
        <v>92</v>
      </c>
      <c r="M27" s="8"/>
      <c r="N27" s="111"/>
      <c r="O27" s="123">
        <f ca="1">+O26+0.1</f>
        <v>1.3000000000000003</v>
      </c>
      <c r="P27" s="150">
        <f ca="1">IF(AND($D$10="D",$C$14&gt;=0.2),'Site Ground Motions'!O25,'Site Ground Motions'!M25)</f>
        <v>0.59607692307692295</v>
      </c>
      <c r="Q27" s="170">
        <f ca="1">P27 / $D$22</f>
        <v>9.17041420118343E-2</v>
      </c>
      <c r="R27" s="116"/>
      <c r="S27" s="116"/>
      <c r="T27" s="116"/>
      <c r="U27" s="116"/>
      <c r="V27" s="123">
        <f t="shared" ca="1" si="1"/>
        <v>1.3000000000000003</v>
      </c>
      <c r="W27" s="170">
        <f t="shared" ref="W27:W58" ca="1" si="2">IF(AND($D$10="D",$C$14&gt;=0.2),IF(V27&lt;$F$15,IF($I$15&gt;0.6,MAX(0.044*$C$13*$D$21,0.5*$I$15/($D$20/$D$21),1.5*$C$14/V27/($D$20/$D$21)),MAX(0.044*$C$13*$D$21,1.5*$C$14/V27/($D$20/$D$21))),IF($I$15&gt;0.6,MAX(0.044*$C$13*$D$21,0.5*$I$15/($D$20/$D$21),1.5*$C$14*$F$15/V27^2/($D$20/$D$21)),MAX(0.044*$C$13*$D$21,1.5*$C$14*$F$15/V27^2/($D$20/$D$21)))),IF(V27&lt;$F$15,IF($I$15&gt;0.6,MAX(0.044*$C$13*$D$21,0.5*$I$15/($D$20/$D$21),$C$14/V27/($D$20/$D$21)),MAX(0.044*$C$13*$D$21,$C$14/V27/($D$20/$D$21))),IF($I$15&gt;0.6,MAX(0.044*$C$13*$D$21,0.5*$I$15/($D$20/$D$21),$C$14*$F$15/V27^2/($D$20/$D$21)),MAX(0.044*$C$13*$D$21,$C$14*$F$15/V27^2/($D$20/$D$21)))))</f>
        <v>9.1704142011834314E-2</v>
      </c>
      <c r="X27" s="111"/>
      <c r="Y27" s="111"/>
      <c r="Z27" s="111"/>
    </row>
    <row r="28" spans="1:26" ht="15" customHeight="1" x14ac:dyDescent="0.3">
      <c r="A28" s="7"/>
      <c r="C28" s="11" t="s">
        <v>94</v>
      </c>
      <c r="D28" s="99">
        <f ca="1">1.5*C14 * F15 / I13^2 / D22</f>
        <v>11.921538461538461</v>
      </c>
      <c r="F28" s="10" t="s">
        <v>121</v>
      </c>
      <c r="M28" s="8"/>
      <c r="N28" s="111"/>
      <c r="O28" s="123">
        <f t="shared" ref="O28:O58" ca="1" si="3">+O27+0.1</f>
        <v>1.4000000000000004</v>
      </c>
      <c r="P28" s="150">
        <f ca="1">IF(AND($D$10="D",$C$14&gt;=0.2),'Site Ground Motions'!O26,'Site Ground Motions'!M26)</f>
        <v>0.55349999999999988</v>
      </c>
      <c r="Q28" s="170">
        <f ca="1">P28 / $D$22</f>
        <v>8.5153846153846136E-2</v>
      </c>
      <c r="R28" s="116"/>
      <c r="S28" s="116"/>
      <c r="T28" s="116"/>
      <c r="U28" s="116"/>
      <c r="V28" s="123">
        <f t="shared" ca="1" si="1"/>
        <v>1.4000000000000004</v>
      </c>
      <c r="W28" s="170">
        <f t="shared" ca="1" si="2"/>
        <v>8.5153846153846149E-2</v>
      </c>
      <c r="X28" s="111"/>
      <c r="Y28" s="111"/>
      <c r="Z28" s="111"/>
    </row>
    <row r="29" spans="1:26" ht="15" customHeight="1" x14ac:dyDescent="0.3">
      <c r="A29" s="7"/>
      <c r="C29" s="11" t="s">
        <v>94</v>
      </c>
      <c r="D29" s="99">
        <f ca="1">MAX(0.01,0.044 * C13 * D21)</f>
        <v>2.9796577066666666E-2</v>
      </c>
      <c r="F29" s="10" t="s">
        <v>110</v>
      </c>
      <c r="M29" s="8"/>
      <c r="N29" s="111"/>
      <c r="O29" s="123">
        <f t="shared" ca="1" si="3"/>
        <v>1.5000000000000004</v>
      </c>
      <c r="P29" s="150">
        <f ca="1">IF(AND($D$10="D",$C$14&gt;=0.2),'Site Ground Motions'!O27,'Site Ground Motions'!M27)</f>
        <v>0.51659999999999995</v>
      </c>
      <c r="Q29" s="170">
        <f t="shared" ca="1" si="0"/>
        <v>7.947692307692307E-2</v>
      </c>
      <c r="R29" s="116"/>
      <c r="S29" s="116"/>
      <c r="T29" s="116"/>
      <c r="U29" s="116"/>
      <c r="V29" s="123">
        <f t="shared" ca="1" si="1"/>
        <v>1.5000000000000004</v>
      </c>
      <c r="W29" s="170">
        <f t="shared" ca="1" si="2"/>
        <v>7.947692307692307E-2</v>
      </c>
      <c r="X29" s="111"/>
      <c r="Y29" s="111"/>
      <c r="Z29" s="111"/>
    </row>
    <row r="30" spans="1:26" ht="15" customHeight="1" x14ac:dyDescent="0.3">
      <c r="A30" s="7"/>
      <c r="C30" s="11" t="s">
        <v>94</v>
      </c>
      <c r="D30" s="100" t="str">
        <f>IF(I15 &lt; 0.6, "n/a", 0.5 * 'Site Ground Motions'!C13 / D22)</f>
        <v>n/a</v>
      </c>
      <c r="F30" s="10" t="s">
        <v>97</v>
      </c>
      <c r="M30" s="8"/>
      <c r="N30" s="111"/>
      <c r="O30" s="123">
        <f t="shared" ca="1" si="3"/>
        <v>1.6000000000000005</v>
      </c>
      <c r="P30" s="150">
        <f ca="1">IF(AND($D$10="D",$C$14&gt;=0.2),'Site Ground Motions'!O28,'Site Ground Motions'!M28)</f>
        <v>0.48431249999999987</v>
      </c>
      <c r="Q30" s="170">
        <f t="shared" ca="1" si="0"/>
        <v>7.4509615384615369E-2</v>
      </c>
      <c r="R30" s="116"/>
      <c r="S30" s="116"/>
      <c r="T30" s="116"/>
      <c r="U30" s="116"/>
      <c r="V30" s="123">
        <f t="shared" ca="1" si="1"/>
        <v>1.6000000000000005</v>
      </c>
      <c r="W30" s="170">
        <f t="shared" ca="1" si="2"/>
        <v>7.4509615384615369E-2</v>
      </c>
      <c r="X30" s="111"/>
      <c r="Y30" s="111"/>
      <c r="Z30" s="111"/>
    </row>
    <row r="31" spans="1:26" ht="15" customHeight="1" thickBot="1" x14ac:dyDescent="0.25">
      <c r="A31" s="7"/>
      <c r="D31" s="10"/>
      <c r="M31" s="8"/>
      <c r="N31" s="111"/>
      <c r="O31" s="123">
        <f t="shared" ca="1" si="3"/>
        <v>1.7000000000000006</v>
      </c>
      <c r="P31" s="150">
        <f ca="1">IF(AND($D$10="D",$C$14&gt;=0.2),'Site Ground Motions'!O29,'Site Ground Motions'!M29)</f>
        <v>0.45582352941176457</v>
      </c>
      <c r="Q31" s="170">
        <f t="shared" ca="1" si="0"/>
        <v>7.0126696832579161E-2</v>
      </c>
      <c r="R31" s="116"/>
      <c r="S31" s="116"/>
      <c r="T31" s="116"/>
      <c r="U31" s="116"/>
      <c r="V31" s="123">
        <f t="shared" ca="1" si="1"/>
        <v>1.7000000000000006</v>
      </c>
      <c r="W31" s="170">
        <f t="shared" ca="1" si="2"/>
        <v>7.0126696832579175E-2</v>
      </c>
      <c r="X31" s="111"/>
      <c r="Y31" s="111"/>
      <c r="Z31" s="111"/>
    </row>
    <row r="32" spans="1:26" ht="15" customHeight="1" thickBot="1" x14ac:dyDescent="0.3">
      <c r="A32" s="7"/>
      <c r="C32" s="91" t="s">
        <v>19</v>
      </c>
      <c r="D32" s="310">
        <f ca="1">O17</f>
        <v>0.10418383589743591</v>
      </c>
      <c r="E32" s="92"/>
      <c r="F32" s="6" t="s">
        <v>36</v>
      </c>
      <c r="G32" s="101">
        <f ca="1">D32</f>
        <v>0.10418383589743591</v>
      </c>
      <c r="M32" s="8"/>
      <c r="N32" s="111"/>
      <c r="O32" s="123">
        <f t="shared" ca="1" si="3"/>
        <v>1.8000000000000007</v>
      </c>
      <c r="P32" s="150">
        <f ca="1">IF(AND($D$10="D",$C$14&gt;=0.2),'Site Ground Motions'!O30,'Site Ground Motions'!M30)</f>
        <v>0.43049999999999988</v>
      </c>
      <c r="Q32" s="170">
        <f t="shared" ca="1" si="0"/>
        <v>6.6230769230769218E-2</v>
      </c>
      <c r="R32" s="116"/>
      <c r="S32" s="116"/>
      <c r="T32" s="116"/>
      <c r="U32" s="116"/>
      <c r="V32" s="123">
        <f t="shared" ca="1" si="1"/>
        <v>1.8000000000000007</v>
      </c>
      <c r="W32" s="170">
        <f t="shared" ca="1" si="2"/>
        <v>6.6230769230769218E-2</v>
      </c>
      <c r="X32" s="111"/>
      <c r="Y32" s="111"/>
      <c r="Z32" s="111"/>
    </row>
    <row r="33" spans="1:26" ht="15" customHeight="1" x14ac:dyDescent="0.2">
      <c r="A33" s="7"/>
      <c r="M33" s="8"/>
      <c r="N33" s="111"/>
      <c r="O33" s="123">
        <f t="shared" ca="1" si="3"/>
        <v>1.9000000000000008</v>
      </c>
      <c r="P33" s="150">
        <f ca="1">IF(AND($D$10="D",$C$14&gt;=0.2),'Site Ground Motions'!O31,'Site Ground Motions'!M31)</f>
        <v>0.40784210526315778</v>
      </c>
      <c r="Q33" s="170">
        <f t="shared" ca="1" si="0"/>
        <v>6.2744939271255046E-2</v>
      </c>
      <c r="R33" s="116"/>
      <c r="S33" s="116"/>
      <c r="T33" s="116"/>
      <c r="U33" s="116"/>
      <c r="V33" s="123">
        <f t="shared" ca="1" si="1"/>
        <v>1.9000000000000008</v>
      </c>
      <c r="W33" s="170">
        <f t="shared" ca="1" si="2"/>
        <v>6.2744939271255046E-2</v>
      </c>
      <c r="X33" s="111"/>
      <c r="Y33" s="111"/>
      <c r="Z33" s="111"/>
    </row>
    <row r="34" spans="1:26" ht="15" customHeight="1" x14ac:dyDescent="0.2">
      <c r="A34" s="7"/>
      <c r="M34" s="8"/>
      <c r="N34" s="111"/>
      <c r="O34" s="123">
        <f t="shared" ca="1" si="3"/>
        <v>2.0000000000000009</v>
      </c>
      <c r="P34" s="150">
        <f ca="1">IF(AND($D$10="D",$C$14&gt;=0.2),'Site Ground Motions'!O32,'Site Ground Motions'!M32)</f>
        <v>0.38744999999999985</v>
      </c>
      <c r="Q34" s="170">
        <f t="shared" ca="1" si="0"/>
        <v>5.9607692307692285E-2</v>
      </c>
      <c r="R34" s="116"/>
      <c r="S34" s="116"/>
      <c r="T34" s="116"/>
      <c r="U34" s="116"/>
      <c r="V34" s="123">
        <f t="shared" ca="1" si="1"/>
        <v>2.0000000000000009</v>
      </c>
      <c r="W34" s="170">
        <f t="shared" ca="1" si="2"/>
        <v>5.9607692307692292E-2</v>
      </c>
      <c r="X34" s="111"/>
      <c r="Y34" s="111"/>
      <c r="Z34" s="111"/>
    </row>
    <row r="35" spans="1:26" ht="15" customHeight="1" x14ac:dyDescent="0.2">
      <c r="A35" s="7"/>
      <c r="M35" s="8"/>
      <c r="N35" s="111"/>
      <c r="O35" s="123">
        <f t="shared" ca="1" si="3"/>
        <v>2.100000000000001</v>
      </c>
      <c r="P35" s="150">
        <f ca="1">IF(AND($D$10="D",$C$14&gt;=0.2),'Site Ground Motions'!O33,'Site Ground Motions'!M33)</f>
        <v>0.36899999999999988</v>
      </c>
      <c r="Q35" s="170">
        <f t="shared" ca="1" si="0"/>
        <v>5.6769230769230752E-2</v>
      </c>
      <c r="R35" s="116"/>
      <c r="S35" s="116"/>
      <c r="T35" s="116"/>
      <c r="U35" s="116"/>
      <c r="V35" s="123">
        <f t="shared" ca="1" si="1"/>
        <v>2.100000000000001</v>
      </c>
      <c r="W35" s="170">
        <f t="shared" ca="1" si="2"/>
        <v>5.6769230769230752E-2</v>
      </c>
      <c r="X35" s="111"/>
      <c r="Y35" s="111"/>
      <c r="Z35" s="111"/>
    </row>
    <row r="36" spans="1:26" ht="15" customHeight="1" x14ac:dyDescent="0.2">
      <c r="A36" s="7"/>
      <c r="M36" s="8"/>
      <c r="N36" s="111"/>
      <c r="O36" s="123">
        <f t="shared" ca="1" si="3"/>
        <v>2.2000000000000011</v>
      </c>
      <c r="P36" s="150">
        <f ca="1">IF(AND($D$10="D",$C$14&gt;=0.2),'Site Ground Motions'!O34,'Site Ground Motions'!M34)</f>
        <v>0.35222727272727261</v>
      </c>
      <c r="Q36" s="170">
        <f t="shared" ca="1" si="0"/>
        <v>5.4188811188811171E-2</v>
      </c>
      <c r="R36" s="116"/>
      <c r="S36" s="116"/>
      <c r="T36" s="116"/>
      <c r="U36" s="116"/>
      <c r="V36" s="123">
        <f t="shared" ca="1" si="1"/>
        <v>2.2000000000000011</v>
      </c>
      <c r="W36" s="170">
        <f t="shared" ca="1" si="2"/>
        <v>5.4188811188811171E-2</v>
      </c>
      <c r="X36" s="111"/>
      <c r="Y36" s="111"/>
      <c r="Z36" s="111"/>
    </row>
    <row r="37" spans="1:26" ht="15" customHeight="1" x14ac:dyDescent="0.2">
      <c r="A37" s="7"/>
      <c r="M37" s="8"/>
      <c r="N37" s="111"/>
      <c r="O37" s="123">
        <f t="shared" ca="1" si="3"/>
        <v>2.3000000000000012</v>
      </c>
      <c r="P37" s="150">
        <f ca="1">IF(AND($D$10="D",$C$14&gt;=0.2),'Site Ground Motions'!O35,'Site Ground Motions'!M35)</f>
        <v>0.33691304347826079</v>
      </c>
      <c r="Q37" s="170">
        <f t="shared" ca="1" si="0"/>
        <v>5.1832775919732427E-2</v>
      </c>
      <c r="R37" s="116"/>
      <c r="S37" s="116"/>
      <c r="T37" s="116"/>
      <c r="U37" s="116"/>
      <c r="V37" s="123">
        <f t="shared" ca="1" si="1"/>
        <v>2.3000000000000012</v>
      </c>
      <c r="W37" s="170">
        <f t="shared" ca="1" si="2"/>
        <v>5.1832775919732427E-2</v>
      </c>
      <c r="X37" s="111"/>
      <c r="Y37" s="111"/>
      <c r="Z37" s="111"/>
    </row>
    <row r="38" spans="1:26" ht="15" customHeight="1" x14ac:dyDescent="0.2">
      <c r="A38" s="7"/>
      <c r="M38" s="8"/>
      <c r="N38" s="111"/>
      <c r="O38" s="123">
        <f t="shared" ca="1" si="3"/>
        <v>2.4000000000000012</v>
      </c>
      <c r="P38" s="150">
        <f ca="1">IF(AND($D$10="D",$C$14&gt;=0.2),'Site Ground Motions'!O36,'Site Ground Motions'!M36)</f>
        <v>0.32287499999999986</v>
      </c>
      <c r="Q38" s="170">
        <f t="shared" ca="1" si="0"/>
        <v>4.9673076923076903E-2</v>
      </c>
      <c r="R38" s="116"/>
      <c r="S38" s="116"/>
      <c r="T38" s="116"/>
      <c r="U38" s="116"/>
      <c r="V38" s="123">
        <f t="shared" ca="1" si="1"/>
        <v>2.4000000000000012</v>
      </c>
      <c r="W38" s="170">
        <f t="shared" ca="1" si="2"/>
        <v>4.967307692307691E-2</v>
      </c>
      <c r="X38" s="111"/>
      <c r="Y38" s="111"/>
      <c r="Z38" s="111"/>
    </row>
    <row r="39" spans="1:26" ht="15" customHeight="1" x14ac:dyDescent="0.2">
      <c r="A39" s="7"/>
      <c r="M39" s="8"/>
      <c r="N39" s="111"/>
      <c r="O39" s="123">
        <f t="shared" ca="1" si="3"/>
        <v>2.5000000000000013</v>
      </c>
      <c r="P39" s="150">
        <f ca="1">IF(AND($D$10="D",$C$14&gt;=0.2),'Site Ground Motions'!O37,'Site Ground Motions'!M37)</f>
        <v>0.30995999999999985</v>
      </c>
      <c r="Q39" s="170">
        <f ca="1">P39 / $D$22</f>
        <v>4.7686153846153823E-2</v>
      </c>
      <c r="R39" s="116"/>
      <c r="S39" s="116"/>
      <c r="T39" s="116"/>
      <c r="U39" s="116"/>
      <c r="V39" s="123">
        <f t="shared" ca="1" si="1"/>
        <v>2.5000000000000013</v>
      </c>
      <c r="W39" s="170">
        <f t="shared" ca="1" si="2"/>
        <v>4.768615384615383E-2</v>
      </c>
      <c r="X39" s="111"/>
      <c r="Y39" s="111"/>
      <c r="Z39" s="111"/>
    </row>
    <row r="40" spans="1:26" ht="15" customHeight="1" x14ac:dyDescent="0.2">
      <c r="A40" s="7"/>
      <c r="M40" s="8"/>
      <c r="N40" s="111"/>
      <c r="O40" s="123">
        <f t="shared" ca="1" si="3"/>
        <v>2.6000000000000014</v>
      </c>
      <c r="P40" s="150">
        <f ca="1">IF(AND($D$10="D",$C$14&gt;=0.2),'Site Ground Motions'!O38,'Site Ground Motions'!M38)</f>
        <v>0.29803846153846142</v>
      </c>
      <c r="Q40" s="170">
        <f t="shared" ca="1" si="0"/>
        <v>4.5852071005917143E-2</v>
      </c>
      <c r="R40" s="116"/>
      <c r="S40" s="116"/>
      <c r="T40" s="116"/>
      <c r="U40" s="116"/>
      <c r="V40" s="123">
        <f t="shared" ca="1" si="1"/>
        <v>2.6000000000000014</v>
      </c>
      <c r="W40" s="170">
        <f t="shared" ca="1" si="2"/>
        <v>4.5852071005917143E-2</v>
      </c>
      <c r="X40" s="111"/>
      <c r="Y40" s="111"/>
      <c r="Z40" s="111"/>
    </row>
    <row r="41" spans="1:26" ht="15" customHeight="1" x14ac:dyDescent="0.2">
      <c r="A41" s="7"/>
      <c r="M41" s="8"/>
      <c r="N41" s="111"/>
      <c r="O41" s="123">
        <f t="shared" ca="1" si="3"/>
        <v>2.7000000000000015</v>
      </c>
      <c r="P41" s="150">
        <f ca="1">IF(AND($D$10="D",$C$14&gt;=0.2),'Site Ground Motions'!O39,'Site Ground Motions'!M39)</f>
        <v>0.28699999999999987</v>
      </c>
      <c r="Q41" s="170">
        <f t="shared" ca="1" si="0"/>
        <v>4.4153846153846134E-2</v>
      </c>
      <c r="R41" s="116"/>
      <c r="S41" s="116"/>
      <c r="T41" s="116"/>
      <c r="U41" s="116"/>
      <c r="V41" s="123">
        <f t="shared" ca="1" si="1"/>
        <v>2.7000000000000015</v>
      </c>
      <c r="W41" s="170">
        <f t="shared" ca="1" si="2"/>
        <v>4.4153846153846134E-2</v>
      </c>
      <c r="X41" s="111"/>
      <c r="Y41" s="111"/>
      <c r="Z41" s="111"/>
    </row>
    <row r="42" spans="1:26" ht="15" customHeight="1" x14ac:dyDescent="0.2">
      <c r="A42" s="7"/>
      <c r="M42" s="8"/>
      <c r="N42" s="111"/>
      <c r="O42" s="123">
        <f t="shared" ca="1" si="3"/>
        <v>2.8000000000000016</v>
      </c>
      <c r="P42" s="150">
        <f ca="1">IF(AND($D$10="D",$C$14&gt;=0.2),'Site Ground Motions'!O40,'Site Ground Motions'!M40)</f>
        <v>0.26720689655172403</v>
      </c>
      <c r="Q42" s="170">
        <f t="shared" ca="1" si="0"/>
        <v>4.1108753315649851E-2</v>
      </c>
      <c r="R42" s="116"/>
      <c r="S42" s="116"/>
      <c r="T42" s="116"/>
      <c r="U42" s="116"/>
      <c r="V42" s="123">
        <f t="shared" ca="1" si="1"/>
        <v>2.8000000000000016</v>
      </c>
      <c r="W42" s="170">
        <f t="shared" ca="1" si="2"/>
        <v>4.2576923076923061E-2</v>
      </c>
      <c r="X42" s="111"/>
      <c r="Y42" s="111"/>
      <c r="Z42" s="111"/>
    </row>
    <row r="43" spans="1:26" ht="15" customHeight="1" x14ac:dyDescent="0.2">
      <c r="A43" s="7"/>
      <c r="M43" s="8"/>
      <c r="N43" s="111"/>
      <c r="O43" s="123">
        <f t="shared" ca="1" si="3"/>
        <v>2.9000000000000017</v>
      </c>
      <c r="P43" s="150">
        <f ca="1">IF(AND($D$10="D",$C$14&gt;=0.2),'Site Ground Motions'!O41,'Site Ground Motions'!M41)</f>
        <v>0.24996774193548377</v>
      </c>
      <c r="Q43" s="170">
        <f t="shared" ca="1" si="0"/>
        <v>3.8456575682382116E-2</v>
      </c>
      <c r="R43" s="116"/>
      <c r="S43" s="116"/>
      <c r="T43" s="116"/>
      <c r="U43" s="116"/>
      <c r="V43" s="123">
        <f t="shared" ca="1" si="1"/>
        <v>2.9000000000000017</v>
      </c>
      <c r="W43" s="170">
        <f t="shared" ca="1" si="2"/>
        <v>4.1108753315649851E-2</v>
      </c>
      <c r="X43" s="111"/>
      <c r="Y43" s="111"/>
      <c r="Z43" s="111"/>
    </row>
    <row r="44" spans="1:26" ht="15" customHeight="1" x14ac:dyDescent="0.2">
      <c r="A44" s="7"/>
      <c r="M44" s="8"/>
      <c r="N44" s="111"/>
      <c r="O44" s="123">
        <f t="shared" ca="1" si="3"/>
        <v>3.0000000000000018</v>
      </c>
      <c r="P44" s="150">
        <f ca="1">IF(AND($D$10="D",$C$14&gt;=0.2),'Site Ground Motions'!O42,'Site Ground Motions'!M42)</f>
        <v>0.2348181818181817</v>
      </c>
      <c r="Q44" s="170">
        <f t="shared" ca="1" si="0"/>
        <v>3.6125874125874105E-2</v>
      </c>
      <c r="R44" s="116"/>
      <c r="S44" s="116"/>
      <c r="T44" s="116"/>
      <c r="U44" s="116"/>
      <c r="V44" s="123">
        <f t="shared" ca="1" si="1"/>
        <v>3.0000000000000018</v>
      </c>
      <c r="W44" s="170">
        <f t="shared" ca="1" si="2"/>
        <v>3.9738461538461528E-2</v>
      </c>
      <c r="X44" s="111"/>
      <c r="Y44" s="111"/>
      <c r="Z44" s="111"/>
    </row>
    <row r="45" spans="1:26" ht="15" customHeight="1" x14ac:dyDescent="0.2">
      <c r="A45" s="7"/>
      <c r="M45" s="8"/>
      <c r="N45" s="111"/>
      <c r="O45" s="123">
        <f t="shared" ca="1" si="3"/>
        <v>3.1000000000000019</v>
      </c>
      <c r="P45" s="150">
        <f ca="1">IF(AND($D$10="D",$C$14&gt;=0.2),'Site Ground Motions'!O43,'Site Ground Motions'!M43)</f>
        <v>0.22139999999999987</v>
      </c>
      <c r="Q45" s="170">
        <f t="shared" ca="1" si="0"/>
        <v>3.4061538461538442E-2</v>
      </c>
      <c r="R45" s="116"/>
      <c r="S45" s="116"/>
      <c r="T45" s="116"/>
      <c r="U45" s="116"/>
      <c r="V45" s="123">
        <f t="shared" ca="1" si="1"/>
        <v>3.1000000000000019</v>
      </c>
      <c r="W45" s="170">
        <f t="shared" ca="1" si="2"/>
        <v>3.8456575682382116E-2</v>
      </c>
      <c r="X45" s="111"/>
      <c r="Y45" s="111"/>
      <c r="Z45" s="111"/>
    </row>
    <row r="46" spans="1:26" ht="15" customHeight="1" x14ac:dyDescent="0.2">
      <c r="A46" s="7"/>
      <c r="M46" s="8"/>
      <c r="N46" s="111"/>
      <c r="O46" s="123">
        <f t="shared" ca="1" si="3"/>
        <v>3.200000000000002</v>
      </c>
      <c r="P46" s="150">
        <f ca="1">IF(AND($D$10="D",$C$14&gt;=0.2),'Site Ground Motions'!O44,'Site Ground Motions'!M44)</f>
        <v>0.20943243243243231</v>
      </c>
      <c r="Q46" s="170">
        <f t="shared" ca="1" si="0"/>
        <v>3.2220374220374201E-2</v>
      </c>
      <c r="R46" s="116"/>
      <c r="S46" s="116"/>
      <c r="T46" s="116"/>
      <c r="U46" s="116"/>
      <c r="V46" s="123">
        <f t="shared" ca="1" si="1"/>
        <v>3.200000000000002</v>
      </c>
      <c r="W46" s="170">
        <f t="shared" ca="1" si="2"/>
        <v>3.7254807692307677E-2</v>
      </c>
      <c r="X46" s="111"/>
      <c r="Y46" s="111"/>
      <c r="Z46" s="111"/>
    </row>
    <row r="47" spans="1:26" ht="15" customHeight="1" x14ac:dyDescent="0.2">
      <c r="A47" s="7"/>
      <c r="M47" s="8"/>
      <c r="N47" s="111"/>
      <c r="O47" s="123">
        <f t="shared" ca="1" si="3"/>
        <v>3.300000000000002</v>
      </c>
      <c r="P47" s="150">
        <f ca="1">IF(AND($D$10="D",$C$14&gt;=0.2),'Site Ground Motions'!O45,'Site Ground Motions'!M45)</f>
        <v>0.19869230769230756</v>
      </c>
      <c r="Q47" s="170">
        <f t="shared" ca="1" si="0"/>
        <v>3.0568047337278085E-2</v>
      </c>
      <c r="R47" s="116"/>
      <c r="S47" s="116"/>
      <c r="T47" s="116"/>
      <c r="U47" s="116"/>
      <c r="V47" s="123">
        <f t="shared" ca="1" si="1"/>
        <v>3.300000000000002</v>
      </c>
      <c r="W47" s="170">
        <f t="shared" ca="1" si="2"/>
        <v>3.6125874125874105E-2</v>
      </c>
      <c r="X47" s="111"/>
      <c r="Y47" s="111"/>
      <c r="Z47" s="111"/>
    </row>
    <row r="48" spans="1:26" ht="15" customHeight="1" x14ac:dyDescent="0.2">
      <c r="A48" s="7"/>
      <c r="M48" s="8"/>
      <c r="N48" s="111"/>
      <c r="O48" s="123">
        <f t="shared" ca="1" si="3"/>
        <v>3.4000000000000021</v>
      </c>
      <c r="P48" s="150">
        <f ca="1">IF(AND($D$10="D",$C$14&gt;=0.2),'Site Ground Motions'!O46,'Site Ground Motions'!M46)</f>
        <v>0.18899999999999992</v>
      </c>
      <c r="Q48" s="170">
        <f t="shared" ca="1" si="0"/>
        <v>2.9076923076923063E-2</v>
      </c>
      <c r="R48" s="116"/>
      <c r="S48" s="116"/>
      <c r="T48" s="116"/>
      <c r="U48" s="116"/>
      <c r="V48" s="123">
        <f t="shared" ca="1" si="1"/>
        <v>3.4000000000000021</v>
      </c>
      <c r="W48" s="170">
        <f t="shared" ca="1" si="2"/>
        <v>3.506334841628958E-2</v>
      </c>
      <c r="X48" s="111"/>
      <c r="Y48" s="111"/>
      <c r="Z48" s="111"/>
    </row>
    <row r="49" spans="1:26" ht="15" customHeight="1" x14ac:dyDescent="0.2">
      <c r="A49" s="7"/>
      <c r="M49" s="8"/>
      <c r="N49" s="111"/>
      <c r="O49" s="123">
        <f t="shared" ca="1" si="3"/>
        <v>3.5000000000000022</v>
      </c>
      <c r="P49" s="150">
        <f ca="1">IF(AND($D$10="D",$C$14&gt;=0.2),'Site Ground Motions'!O47,'Site Ground Motions'!M47)</f>
        <v>0.18020930232558133</v>
      </c>
      <c r="Q49" s="170">
        <f t="shared" ca="1" si="0"/>
        <v>2.7724508050089434E-2</v>
      </c>
      <c r="R49" s="116"/>
      <c r="S49" s="116"/>
      <c r="T49" s="116"/>
      <c r="U49" s="116"/>
      <c r="V49" s="123">
        <f t="shared" ca="1" si="1"/>
        <v>3.5000000000000022</v>
      </c>
      <c r="W49" s="170">
        <f t="shared" ca="1" si="2"/>
        <v>3.4061538461538449E-2</v>
      </c>
      <c r="X49" s="111"/>
      <c r="Y49" s="111"/>
      <c r="Z49" s="111"/>
    </row>
    <row r="50" spans="1:26" ht="15" customHeight="1" x14ac:dyDescent="0.2">
      <c r="A50" s="7"/>
      <c r="M50" s="8"/>
      <c r="N50" s="111"/>
      <c r="O50" s="123">
        <f t="shared" ca="1" si="3"/>
        <v>3.6000000000000023</v>
      </c>
      <c r="P50" s="150">
        <f ca="1">IF(AND($D$10="D",$C$14&gt;=0.2),'Site Ground Motions'!O48,'Site Ground Motions'!M48)</f>
        <v>0.17219999999999991</v>
      </c>
      <c r="Q50" s="170">
        <f t="shared" ca="1" si="0"/>
        <v>2.649230769230768E-2</v>
      </c>
      <c r="R50" s="116"/>
      <c r="S50" s="116"/>
      <c r="T50" s="116"/>
      <c r="U50" s="116"/>
      <c r="V50" s="123">
        <f t="shared" ca="1" si="1"/>
        <v>3.6000000000000023</v>
      </c>
      <c r="W50" s="170">
        <f t="shared" ca="1" si="2"/>
        <v>3.3115384615384602E-2</v>
      </c>
      <c r="X50" s="111"/>
      <c r="Y50" s="111"/>
      <c r="Z50" s="111"/>
    </row>
    <row r="51" spans="1:26" ht="15" customHeight="1" x14ac:dyDescent="0.2">
      <c r="A51" s="7"/>
      <c r="M51" s="8"/>
      <c r="N51" s="111"/>
      <c r="O51" s="123">
        <f t="shared" ca="1" si="3"/>
        <v>3.7000000000000024</v>
      </c>
      <c r="P51" s="150">
        <f ca="1">IF(AND($D$10="D",$C$14&gt;=0.2),'Site Ground Motions'!O49,'Site Ground Motions'!M49)</f>
        <v>0.16487234042553184</v>
      </c>
      <c r="Q51" s="170">
        <f t="shared" ca="1" si="0"/>
        <v>2.536497545008182E-2</v>
      </c>
      <c r="R51" s="116"/>
      <c r="S51" s="116"/>
      <c r="T51" s="116"/>
      <c r="U51" s="116"/>
      <c r="V51" s="123">
        <f t="shared" ca="1" si="1"/>
        <v>3.7000000000000024</v>
      </c>
      <c r="W51" s="170">
        <f t="shared" ca="1" si="2"/>
        <v>3.2220374220374208E-2</v>
      </c>
      <c r="X51" s="111"/>
      <c r="Y51" s="111"/>
      <c r="Z51" s="111"/>
    </row>
    <row r="52" spans="1:26" ht="15" customHeight="1" x14ac:dyDescent="0.2">
      <c r="A52" s="7"/>
      <c r="M52" s="8"/>
      <c r="N52" s="111"/>
      <c r="O52" s="123">
        <f t="shared" ca="1" si="3"/>
        <v>3.8000000000000025</v>
      </c>
      <c r="P52" s="150">
        <f ca="1">IF(AND($D$10="D",$C$14&gt;=0.2),'Site Ground Motions'!O50,'Site Ground Motions'!M50)</f>
        <v>0.15814285714285706</v>
      </c>
      <c r="Q52" s="170">
        <f t="shared" ca="1" si="0"/>
        <v>2.4329670329670317E-2</v>
      </c>
      <c r="R52" s="116"/>
      <c r="S52" s="116"/>
      <c r="T52" s="116"/>
      <c r="U52" s="116"/>
      <c r="V52" s="123">
        <f t="shared" ca="1" si="1"/>
        <v>3.8000000000000025</v>
      </c>
      <c r="W52" s="170">
        <f t="shared" ca="1" si="2"/>
        <v>3.1372469635627516E-2</v>
      </c>
      <c r="X52" s="111"/>
      <c r="Y52" s="111"/>
      <c r="Z52" s="111"/>
    </row>
    <row r="53" spans="1:26" ht="15" customHeight="1" x14ac:dyDescent="0.2">
      <c r="A53" s="7"/>
      <c r="M53" s="8"/>
      <c r="N53" s="111"/>
      <c r="O53" s="123">
        <f t="shared" ca="1" si="3"/>
        <v>3.9000000000000026</v>
      </c>
      <c r="P53" s="150">
        <f ca="1">IF(AND($D$10="D",$C$14&gt;=0.2),'Site Ground Motions'!O51,'Site Ground Motions'!M51)</f>
        <v>0.15194117647058816</v>
      </c>
      <c r="Q53" s="170">
        <f t="shared" ca="1" si="0"/>
        <v>2.3375565610859718E-2</v>
      </c>
      <c r="R53" s="116"/>
      <c r="S53" s="116"/>
      <c r="T53" s="116"/>
      <c r="U53" s="116"/>
      <c r="V53" s="123">
        <f t="shared" ca="1" si="1"/>
        <v>3.9000000000000026</v>
      </c>
      <c r="W53" s="170">
        <f t="shared" ca="1" si="2"/>
        <v>3.0568047337278088E-2</v>
      </c>
      <c r="X53" s="111"/>
      <c r="Y53" s="111"/>
      <c r="Z53" s="111"/>
    </row>
    <row r="54" spans="1:26" ht="15" customHeight="1" x14ac:dyDescent="0.2">
      <c r="A54" s="7"/>
      <c r="M54" s="8"/>
      <c r="N54" s="111"/>
      <c r="O54" s="123">
        <f t="shared" ca="1" si="3"/>
        <v>4.0000000000000027</v>
      </c>
      <c r="P54" s="150">
        <f ca="1">IF(AND($D$10="D",$C$14&gt;=0.2),'Site Ground Motions'!O52,'Site Ground Motions'!M52)</f>
        <v>0.14620754716981124</v>
      </c>
      <c r="Q54" s="170">
        <f t="shared" ca="1" si="0"/>
        <v>2.2493468795355576E-2</v>
      </c>
      <c r="R54" s="116"/>
      <c r="S54" s="116"/>
      <c r="T54" s="116"/>
      <c r="U54" s="116"/>
      <c r="V54" s="123">
        <f t="shared" ca="1" si="1"/>
        <v>4.0000000000000027</v>
      </c>
      <c r="W54" s="170">
        <f t="shared" ca="1" si="2"/>
        <v>2.9803846153846139E-2</v>
      </c>
      <c r="X54" s="111"/>
      <c r="Y54" s="111"/>
      <c r="Z54" s="111"/>
    </row>
    <row r="55" spans="1:26" ht="15" customHeight="1" x14ac:dyDescent="0.2">
      <c r="A55" s="7"/>
      <c r="C55" s="10"/>
      <c r="M55" s="8"/>
      <c r="N55" s="111"/>
      <c r="O55" s="123">
        <f t="shared" ca="1" si="3"/>
        <v>4.1000000000000023</v>
      </c>
      <c r="P55" s="150">
        <f ca="1">IF(AND($D$10="D",$C$14&gt;=0.2),'Site Ground Motions'!O53,'Site Ground Motions'!M53)</f>
        <v>0.14089090909090901</v>
      </c>
      <c r="Q55" s="170">
        <f t="shared" ca="1" si="0"/>
        <v>2.1675524475524462E-2</v>
      </c>
      <c r="R55" s="116"/>
      <c r="S55" s="116"/>
      <c r="T55" s="116"/>
      <c r="U55" s="116"/>
      <c r="V55" s="123">
        <f t="shared" ca="1" si="1"/>
        <v>4.1000000000000023</v>
      </c>
      <c r="W55" s="170">
        <f t="shared" ca="1" si="2"/>
        <v>2.9796577066666666E-2</v>
      </c>
      <c r="X55" s="111"/>
      <c r="Y55" s="111"/>
      <c r="Z55" s="111"/>
    </row>
    <row r="56" spans="1:26" ht="15" customHeight="1" x14ac:dyDescent="0.2">
      <c r="A56" s="7"/>
      <c r="M56" s="8"/>
      <c r="N56" s="111"/>
      <c r="O56" s="123">
        <f t="shared" ca="1" si="3"/>
        <v>4.200000000000002</v>
      </c>
      <c r="P56" s="150">
        <f ca="1">IF(AND($D$10="D",$C$14&gt;=0.2),'Site Ground Motions'!O54,'Site Ground Motions'!M54)</f>
        <v>0.13594736842105254</v>
      </c>
      <c r="Q56" s="170">
        <f t="shared" ca="1" si="0"/>
        <v>2.0914979757085006E-2</v>
      </c>
      <c r="R56" s="116"/>
      <c r="S56" s="116"/>
      <c r="T56" s="116"/>
      <c r="U56" s="116"/>
      <c r="V56" s="123">
        <f t="shared" ca="1" si="1"/>
        <v>4.200000000000002</v>
      </c>
      <c r="W56" s="170">
        <f t="shared" ca="1" si="2"/>
        <v>2.9796577066666666E-2</v>
      </c>
      <c r="X56" s="111"/>
      <c r="Y56" s="111"/>
      <c r="Z56" s="111"/>
    </row>
    <row r="57" spans="1:26" ht="15" customHeight="1" x14ac:dyDescent="0.2">
      <c r="A57" s="7"/>
      <c r="M57" s="8"/>
      <c r="N57" s="111"/>
      <c r="O57" s="123">
        <f t="shared" ca="1" si="3"/>
        <v>4.3000000000000016</v>
      </c>
      <c r="P57" s="150">
        <f ca="1">IF(AND($D$10="D",$C$14&gt;=0.2),'Site Ground Motions'!O55,'Site Ground Motions'!M55)</f>
        <v>0.13133898305084737</v>
      </c>
      <c r="Q57" s="170">
        <f ca="1">P57 / $D$22</f>
        <v>2.0205997392438058E-2</v>
      </c>
      <c r="R57" s="116"/>
      <c r="S57" s="116"/>
      <c r="T57" s="116"/>
      <c r="U57" s="116"/>
      <c r="V57" s="123">
        <f t="shared" ca="1" si="1"/>
        <v>4.3000000000000016</v>
      </c>
      <c r="W57" s="170">
        <f t="shared" ca="1" si="2"/>
        <v>2.9796577066666666E-2</v>
      </c>
      <c r="X57" s="111"/>
      <c r="Y57" s="111"/>
      <c r="Z57" s="111"/>
    </row>
    <row r="58" spans="1:26" ht="15" customHeight="1" x14ac:dyDescent="0.2">
      <c r="A58" s="3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5"/>
      <c r="N58" s="111"/>
      <c r="O58" s="125">
        <f t="shared" ca="1" si="3"/>
        <v>4.4000000000000012</v>
      </c>
      <c r="P58" s="153">
        <f ca="1">IF(AND($D$10="D",$C$14&gt;=0.2),'Site Ground Motions'!O56,'Site Ground Motions'!M56)</f>
        <v>0.12703278688524583</v>
      </c>
      <c r="Q58" s="174">
        <f t="shared" ca="1" si="0"/>
        <v>1.9543505674653204E-2</v>
      </c>
      <c r="R58" s="116"/>
      <c r="S58" s="116"/>
      <c r="T58" s="116"/>
      <c r="U58" s="116"/>
      <c r="V58" s="125">
        <f t="shared" ca="1" si="1"/>
        <v>4.4000000000000012</v>
      </c>
      <c r="W58" s="174">
        <f t="shared" ca="1" si="2"/>
        <v>2.9796577066666666E-2</v>
      </c>
      <c r="X58" s="111"/>
      <c r="Y58" s="111"/>
      <c r="Z58" s="111"/>
    </row>
    <row r="59" spans="1:26" ht="15" customHeight="1" x14ac:dyDescent="0.2">
      <c r="A59" s="111"/>
      <c r="B59" s="111"/>
      <c r="C59" s="111"/>
      <c r="D59" s="111"/>
      <c r="E59" s="111"/>
      <c r="F59" s="111"/>
      <c r="G59" s="111"/>
      <c r="H59" s="111"/>
      <c r="I59" s="111"/>
      <c r="J59" s="111"/>
      <c r="K59" s="111"/>
      <c r="L59" s="111"/>
      <c r="M59" s="111"/>
      <c r="N59" s="111"/>
      <c r="O59" s="111"/>
      <c r="P59" s="111"/>
      <c r="Q59" s="111"/>
      <c r="R59" s="111"/>
      <c r="S59" s="111"/>
      <c r="T59" s="111"/>
      <c r="U59" s="111"/>
      <c r="V59" s="111"/>
      <c r="W59" s="111"/>
      <c r="X59" s="111"/>
      <c r="Y59" s="111"/>
      <c r="Z59" s="111"/>
    </row>
    <row r="60" spans="1:26" ht="15" customHeight="1" x14ac:dyDescent="0.2">
      <c r="A60" s="111"/>
      <c r="B60" s="111"/>
      <c r="C60" s="111"/>
      <c r="D60" s="111"/>
      <c r="E60" s="111"/>
      <c r="F60" s="111"/>
      <c r="G60" s="111"/>
      <c r="H60" s="111"/>
      <c r="I60" s="111"/>
      <c r="J60" s="111"/>
      <c r="K60" s="111"/>
      <c r="L60" s="111"/>
      <c r="M60" s="111"/>
      <c r="N60" s="111"/>
      <c r="O60" s="111"/>
      <c r="P60" s="111"/>
      <c r="Q60" s="111"/>
      <c r="R60" s="111"/>
      <c r="S60" s="111"/>
      <c r="T60" s="111"/>
      <c r="U60" s="111"/>
      <c r="V60" s="111"/>
      <c r="W60" s="111"/>
      <c r="X60" s="111"/>
      <c r="Y60" s="111"/>
      <c r="Z60" s="111"/>
    </row>
    <row r="61" spans="1:26" ht="15" customHeight="1" x14ac:dyDescent="0.2">
      <c r="A61" s="111"/>
      <c r="B61" s="111"/>
      <c r="C61" s="111"/>
      <c r="D61" s="111"/>
      <c r="E61" s="111"/>
      <c r="F61" s="111"/>
      <c r="G61" s="111"/>
      <c r="H61" s="111"/>
      <c r="I61" s="111"/>
      <c r="J61" s="111"/>
      <c r="K61" s="111"/>
      <c r="L61" s="111"/>
      <c r="M61" s="111"/>
      <c r="N61" s="111"/>
      <c r="O61" s="111"/>
      <c r="P61" s="111"/>
      <c r="Q61" s="111"/>
      <c r="R61" s="111"/>
      <c r="S61" s="111"/>
      <c r="T61" s="111"/>
      <c r="U61" s="111"/>
      <c r="V61" s="111"/>
      <c r="W61" s="111"/>
      <c r="X61" s="111"/>
      <c r="Y61" s="111"/>
      <c r="Z61" s="111"/>
    </row>
    <row r="62" spans="1:26" ht="15" customHeight="1" x14ac:dyDescent="0.2">
      <c r="A62" s="111"/>
      <c r="B62" s="111"/>
      <c r="C62" s="111"/>
      <c r="D62" s="111"/>
      <c r="E62" s="111"/>
      <c r="F62" s="111"/>
      <c r="G62" s="111"/>
      <c r="H62" s="111"/>
      <c r="I62" s="111"/>
      <c r="J62" s="111"/>
      <c r="K62" s="111"/>
      <c r="L62" s="111"/>
      <c r="M62" s="111"/>
      <c r="N62" s="111"/>
      <c r="O62" s="111"/>
      <c r="P62" s="111"/>
      <c r="Q62" s="111"/>
      <c r="R62" s="111"/>
      <c r="S62" s="111"/>
      <c r="T62" s="111"/>
      <c r="U62" s="111"/>
      <c r="V62" s="175"/>
      <c r="W62" s="176"/>
      <c r="X62" s="111"/>
      <c r="Y62" s="111"/>
      <c r="Z62" s="111"/>
    </row>
    <row r="63" spans="1:26" ht="15" customHeight="1" x14ac:dyDescent="0.2">
      <c r="A63" s="111"/>
      <c r="B63" s="111"/>
      <c r="C63" s="111"/>
      <c r="D63" s="111"/>
      <c r="E63" s="111"/>
      <c r="F63" s="111"/>
      <c r="G63" s="111"/>
      <c r="H63" s="111"/>
      <c r="I63" s="111"/>
      <c r="J63" s="111"/>
      <c r="K63" s="111"/>
      <c r="L63" s="111"/>
      <c r="M63" s="111"/>
      <c r="N63" s="111"/>
      <c r="O63" s="111"/>
      <c r="P63" s="111"/>
      <c r="Q63" s="111"/>
      <c r="R63" s="111"/>
      <c r="S63" s="111"/>
      <c r="T63" s="111"/>
      <c r="U63" s="111"/>
      <c r="V63" s="175"/>
      <c r="W63" s="176"/>
      <c r="X63" s="111"/>
      <c r="Y63" s="111"/>
      <c r="Z63" s="111"/>
    </row>
    <row r="64" spans="1:26" x14ac:dyDescent="0.2">
      <c r="A64" s="111"/>
      <c r="B64" s="111"/>
      <c r="C64" s="111"/>
      <c r="D64" s="111"/>
      <c r="E64" s="111"/>
      <c r="F64" s="111"/>
      <c r="G64" s="111"/>
      <c r="H64" s="111"/>
      <c r="I64" s="111"/>
      <c r="J64" s="111"/>
      <c r="K64" s="111"/>
      <c r="L64" s="111"/>
      <c r="M64" s="111"/>
      <c r="N64" s="111"/>
      <c r="O64" s="111"/>
      <c r="P64" s="111"/>
      <c r="Q64" s="111"/>
      <c r="R64" s="111"/>
      <c r="S64" s="111"/>
      <c r="T64" s="111"/>
      <c r="U64" s="111"/>
      <c r="V64" s="175"/>
      <c r="W64" s="176"/>
      <c r="X64" s="111"/>
      <c r="Y64" s="111"/>
      <c r="Z64" s="111"/>
    </row>
    <row r="65" spans="1:26" x14ac:dyDescent="0.2">
      <c r="A65" s="111"/>
      <c r="B65" s="111"/>
      <c r="C65" s="111"/>
      <c r="D65" s="111"/>
      <c r="E65" s="111"/>
      <c r="F65" s="111"/>
      <c r="G65" s="111"/>
      <c r="H65" s="111"/>
      <c r="I65" s="111"/>
      <c r="J65" s="111"/>
      <c r="K65" s="111"/>
      <c r="L65" s="111"/>
      <c r="M65" s="111"/>
      <c r="N65" s="111"/>
      <c r="O65" s="111"/>
      <c r="P65" s="111"/>
      <c r="Q65" s="111"/>
      <c r="R65" s="111"/>
      <c r="S65" s="111"/>
      <c r="T65" s="111"/>
      <c r="U65" s="111"/>
      <c r="V65" s="111"/>
      <c r="W65" s="111"/>
      <c r="X65" s="111"/>
      <c r="Y65" s="111"/>
      <c r="Z65" s="111"/>
    </row>
    <row r="66" spans="1:26" x14ac:dyDescent="0.2">
      <c r="A66" s="111"/>
      <c r="B66" s="111"/>
      <c r="C66" s="111"/>
      <c r="D66" s="111"/>
      <c r="E66" s="111"/>
      <c r="F66" s="111"/>
      <c r="G66" s="111"/>
      <c r="H66" s="111"/>
      <c r="I66" s="111"/>
      <c r="J66" s="111"/>
      <c r="K66" s="111"/>
      <c r="L66" s="111"/>
      <c r="M66" s="111"/>
      <c r="N66" s="111"/>
      <c r="O66" s="111"/>
      <c r="P66" s="111"/>
      <c r="Q66" s="111"/>
      <c r="R66" s="111"/>
      <c r="S66" s="111"/>
      <c r="T66" s="111"/>
      <c r="U66" s="111"/>
      <c r="V66" s="175"/>
      <c r="W66" s="176"/>
      <c r="X66" s="111"/>
      <c r="Y66" s="111"/>
      <c r="Z66" s="111"/>
    </row>
    <row r="67" spans="1:26" x14ac:dyDescent="0.2">
      <c r="A67" s="111"/>
      <c r="B67" s="111"/>
      <c r="C67" s="111"/>
      <c r="D67" s="111"/>
      <c r="E67" s="111"/>
      <c r="F67" s="111"/>
      <c r="G67" s="111"/>
      <c r="H67" s="111"/>
      <c r="I67" s="111"/>
      <c r="J67" s="111"/>
      <c r="K67" s="111"/>
      <c r="L67" s="111"/>
      <c r="M67" s="111"/>
      <c r="N67" s="111"/>
      <c r="O67" s="111"/>
      <c r="P67" s="111"/>
      <c r="Q67" s="111"/>
      <c r="R67" s="111"/>
      <c r="S67" s="111"/>
      <c r="T67" s="111"/>
      <c r="U67" s="111"/>
      <c r="V67" s="175"/>
      <c r="W67" s="176"/>
      <c r="X67" s="111"/>
      <c r="Y67" s="111"/>
      <c r="Z67" s="111"/>
    </row>
    <row r="68" spans="1:26" x14ac:dyDescent="0.2">
      <c r="A68" s="111"/>
      <c r="B68" s="111"/>
      <c r="C68" s="111"/>
      <c r="D68" s="111"/>
      <c r="E68" s="111"/>
      <c r="F68" s="111"/>
      <c r="G68" s="111"/>
      <c r="H68" s="111"/>
      <c r="I68" s="111"/>
      <c r="J68" s="111"/>
      <c r="K68" s="111"/>
      <c r="L68" s="111"/>
      <c r="M68" s="111"/>
      <c r="N68" s="111"/>
      <c r="O68" s="175"/>
      <c r="P68" s="177"/>
      <c r="Q68" s="176"/>
      <c r="R68" s="111"/>
      <c r="S68" s="111"/>
      <c r="T68" s="111"/>
      <c r="U68" s="111"/>
      <c r="V68" s="175"/>
      <c r="W68" s="176"/>
      <c r="X68" s="111"/>
      <c r="Y68" s="111"/>
      <c r="Z68" s="111"/>
    </row>
    <row r="69" spans="1:26" x14ac:dyDescent="0.2">
      <c r="A69" s="111"/>
      <c r="B69" s="111"/>
      <c r="C69" s="111"/>
      <c r="D69" s="111"/>
      <c r="E69" s="111"/>
      <c r="F69" s="111"/>
      <c r="G69" s="111"/>
      <c r="H69" s="111"/>
      <c r="I69" s="111"/>
      <c r="J69" s="111"/>
      <c r="K69" s="111"/>
      <c r="L69" s="111"/>
      <c r="M69" s="111"/>
      <c r="N69" s="111"/>
      <c r="O69" s="111"/>
      <c r="P69" s="111"/>
      <c r="Q69" s="111"/>
      <c r="R69" s="111"/>
      <c r="S69" s="111"/>
      <c r="T69" s="111"/>
      <c r="U69" s="111"/>
      <c r="V69" s="111"/>
      <c r="W69" s="111"/>
      <c r="X69" s="111"/>
      <c r="Y69" s="111"/>
      <c r="Z69" s="111"/>
    </row>
    <row r="70" spans="1:26" x14ac:dyDescent="0.2">
      <c r="A70" s="111"/>
      <c r="B70" s="111"/>
      <c r="C70" s="111"/>
      <c r="D70" s="111"/>
      <c r="E70" s="111"/>
      <c r="F70" s="111"/>
      <c r="G70" s="111"/>
      <c r="H70" s="111"/>
      <c r="I70" s="111"/>
      <c r="J70" s="111"/>
      <c r="K70" s="111"/>
      <c r="L70" s="111"/>
      <c r="M70" s="111"/>
      <c r="N70" s="111"/>
      <c r="O70" s="111"/>
      <c r="P70" s="111"/>
      <c r="Q70" s="111"/>
      <c r="R70" s="111"/>
      <c r="S70" s="111"/>
      <c r="T70" s="111"/>
      <c r="U70" s="111"/>
      <c r="V70" s="111"/>
      <c r="W70" s="111"/>
      <c r="X70" s="111"/>
      <c r="Y70" s="111"/>
      <c r="Z70" s="111"/>
    </row>
    <row r="71" spans="1:26" x14ac:dyDescent="0.2">
      <c r="A71" s="111"/>
      <c r="B71" s="111"/>
      <c r="C71" s="111"/>
      <c r="D71" s="111"/>
      <c r="E71" s="111"/>
      <c r="F71" s="111"/>
      <c r="G71" s="111"/>
      <c r="H71" s="111"/>
      <c r="I71" s="111"/>
      <c r="J71" s="111"/>
      <c r="K71" s="111"/>
      <c r="L71" s="111"/>
      <c r="M71" s="111"/>
      <c r="N71" s="111"/>
      <c r="O71" s="111"/>
      <c r="P71" s="111"/>
      <c r="Q71" s="111"/>
      <c r="R71" s="111"/>
      <c r="S71" s="111"/>
      <c r="T71" s="111"/>
      <c r="U71" s="111"/>
      <c r="V71" s="111"/>
      <c r="W71" s="111"/>
      <c r="X71" s="111"/>
      <c r="Y71" s="111"/>
      <c r="Z71" s="111"/>
    </row>
    <row r="72" spans="1:26" s="111" customFormat="1" x14ac:dyDescent="0.2"/>
    <row r="73" spans="1:26" s="111" customFormat="1" x14ac:dyDescent="0.2"/>
    <row r="74" spans="1:26" s="111" customFormat="1" x14ac:dyDescent="0.2"/>
    <row r="75" spans="1:26" s="111" customFormat="1" x14ac:dyDescent="0.2"/>
    <row r="76" spans="1:26" s="111" customFormat="1" x14ac:dyDescent="0.2"/>
    <row r="77" spans="1:26" s="111" customFormat="1" x14ac:dyDescent="0.2"/>
    <row r="78" spans="1:26" s="111" customFormat="1" x14ac:dyDescent="0.2"/>
    <row r="79" spans="1:26" s="111" customFormat="1" x14ac:dyDescent="0.2"/>
    <row r="80" spans="1:26" s="111" customFormat="1" x14ac:dyDescent="0.2"/>
    <row r="81" s="111" customFormat="1" x14ac:dyDescent="0.2"/>
    <row r="82" s="111" customFormat="1" x14ac:dyDescent="0.2"/>
    <row r="83" s="111" customFormat="1" x14ac:dyDescent="0.2"/>
    <row r="84" s="111" customFormat="1" x14ac:dyDescent="0.2"/>
    <row r="85" s="111" customFormat="1" x14ac:dyDescent="0.2"/>
    <row r="86" s="111" customFormat="1" x14ac:dyDescent="0.2"/>
    <row r="87" s="111" customFormat="1" x14ac:dyDescent="0.2"/>
    <row r="88" s="111" customFormat="1" x14ac:dyDescent="0.2"/>
    <row r="89" s="111" customFormat="1" x14ac:dyDescent="0.2"/>
    <row r="90" s="111" customFormat="1" x14ac:dyDescent="0.2"/>
    <row r="91" s="111" customFormat="1" x14ac:dyDescent="0.2"/>
    <row r="92" s="111" customFormat="1" x14ac:dyDescent="0.2"/>
    <row r="93" s="111" customFormat="1" x14ac:dyDescent="0.2"/>
    <row r="94" s="111" customFormat="1" x14ac:dyDescent="0.2"/>
    <row r="95" s="111" customFormat="1" x14ac:dyDescent="0.2"/>
    <row r="96" s="111" customFormat="1" x14ac:dyDescent="0.2"/>
    <row r="97" s="111" customFormat="1" x14ac:dyDescent="0.2"/>
    <row r="98" s="111" customFormat="1" x14ac:dyDescent="0.2"/>
    <row r="99" s="111" customFormat="1" x14ac:dyDescent="0.2"/>
    <row r="100" s="111" customFormat="1" x14ac:dyDescent="0.2"/>
    <row r="101" s="111" customFormat="1" x14ac:dyDescent="0.2"/>
    <row r="102" s="111" customFormat="1" x14ac:dyDescent="0.2"/>
    <row r="103" s="111" customFormat="1" x14ac:dyDescent="0.2"/>
    <row r="104" s="111" customFormat="1" x14ac:dyDescent="0.2"/>
    <row r="105" s="111" customFormat="1" x14ac:dyDescent="0.2"/>
    <row r="106" s="111" customFormat="1" x14ac:dyDescent="0.2"/>
    <row r="107" s="111" customFormat="1" x14ac:dyDescent="0.2"/>
    <row r="108" s="111" customFormat="1" x14ac:dyDescent="0.2"/>
    <row r="109" s="111" customFormat="1" x14ac:dyDescent="0.2"/>
    <row r="110" s="111" customFormat="1" x14ac:dyDescent="0.2"/>
    <row r="111" s="111" customFormat="1" x14ac:dyDescent="0.2"/>
    <row r="112" s="111" customFormat="1" x14ac:dyDescent="0.2"/>
    <row r="113" s="111" customFormat="1" x14ac:dyDescent="0.2"/>
    <row r="114" s="111" customFormat="1" x14ac:dyDescent="0.2"/>
    <row r="115" s="111" customFormat="1" x14ac:dyDescent="0.2"/>
    <row r="116" s="111" customFormat="1" x14ac:dyDescent="0.2"/>
    <row r="117" s="111" customFormat="1" x14ac:dyDescent="0.2"/>
    <row r="118" s="111" customFormat="1" x14ac:dyDescent="0.2"/>
    <row r="119" s="111" customFormat="1" x14ac:dyDescent="0.2"/>
    <row r="120" s="111" customFormat="1" x14ac:dyDescent="0.2"/>
    <row r="121" s="111" customFormat="1" x14ac:dyDescent="0.2"/>
    <row r="122" s="111" customFormat="1" x14ac:dyDescent="0.2"/>
    <row r="123" s="111" customFormat="1" x14ac:dyDescent="0.2"/>
    <row r="124" s="111" customFormat="1" x14ac:dyDescent="0.2"/>
    <row r="125" s="111" customFormat="1" x14ac:dyDescent="0.2"/>
    <row r="126" s="111" customFormat="1" x14ac:dyDescent="0.2"/>
    <row r="127" s="111" customFormat="1" x14ac:dyDescent="0.2"/>
    <row r="128" s="111" customFormat="1" x14ac:dyDescent="0.2"/>
    <row r="129" s="111" customFormat="1" x14ac:dyDescent="0.2"/>
    <row r="130" s="111" customFormat="1" x14ac:dyDescent="0.2"/>
    <row r="131" s="111" customFormat="1" x14ac:dyDescent="0.2"/>
    <row r="132" s="111" customFormat="1" x14ac:dyDescent="0.2"/>
    <row r="133" s="111" customFormat="1" x14ac:dyDescent="0.2"/>
    <row r="134" s="111" customFormat="1" x14ac:dyDescent="0.2"/>
    <row r="135" s="111" customFormat="1" x14ac:dyDescent="0.2"/>
    <row r="136" s="111" customFormat="1" x14ac:dyDescent="0.2"/>
    <row r="137" s="111" customFormat="1" x14ac:dyDescent="0.2"/>
    <row r="138" s="111" customFormat="1" x14ac:dyDescent="0.2"/>
    <row r="139" s="111" customFormat="1" x14ac:dyDescent="0.2"/>
    <row r="140" s="111" customFormat="1" x14ac:dyDescent="0.2"/>
    <row r="141" s="111" customFormat="1" x14ac:dyDescent="0.2"/>
    <row r="142" s="111" customFormat="1" x14ac:dyDescent="0.2"/>
    <row r="143" s="111" customFormat="1" x14ac:dyDescent="0.2"/>
    <row r="144" s="111" customFormat="1" x14ac:dyDescent="0.2"/>
    <row r="145" s="111" customFormat="1" x14ac:dyDescent="0.2"/>
    <row r="146" s="111" customFormat="1" x14ac:dyDescent="0.2"/>
    <row r="147" s="111" customFormat="1" x14ac:dyDescent="0.2"/>
    <row r="148" s="111" customFormat="1" x14ac:dyDescent="0.2"/>
    <row r="149" s="111" customFormat="1" x14ac:dyDescent="0.2"/>
    <row r="150" s="111" customFormat="1" x14ac:dyDescent="0.2"/>
    <row r="151" s="111" customFormat="1" x14ac:dyDescent="0.2"/>
    <row r="152" s="111" customFormat="1" x14ac:dyDescent="0.2"/>
    <row r="153" s="111" customFormat="1" x14ac:dyDescent="0.2"/>
    <row r="154" s="111" customFormat="1" x14ac:dyDescent="0.2"/>
    <row r="155" s="111" customFormat="1" x14ac:dyDescent="0.2"/>
    <row r="156" s="111" customFormat="1" x14ac:dyDescent="0.2"/>
    <row r="157" s="111" customFormat="1" x14ac:dyDescent="0.2"/>
    <row r="158" s="111" customFormat="1" x14ac:dyDescent="0.2"/>
    <row r="159" s="111" customFormat="1" x14ac:dyDescent="0.2"/>
    <row r="160" s="111" customFormat="1" x14ac:dyDescent="0.2"/>
    <row r="161" s="111" customFormat="1" x14ac:dyDescent="0.2"/>
    <row r="162" s="111" customFormat="1" x14ac:dyDescent="0.2"/>
    <row r="163" s="111" customFormat="1" x14ac:dyDescent="0.2"/>
    <row r="164" s="111" customFormat="1" x14ac:dyDescent="0.2"/>
    <row r="165" s="111" customFormat="1" x14ac:dyDescent="0.2"/>
    <row r="166" s="111" customFormat="1" x14ac:dyDescent="0.2"/>
    <row r="167" s="111" customFormat="1" x14ac:dyDescent="0.2"/>
    <row r="168" s="111" customFormat="1" x14ac:dyDescent="0.2"/>
    <row r="169" s="111" customFormat="1" x14ac:dyDescent="0.2"/>
    <row r="170" s="111" customFormat="1" x14ac:dyDescent="0.2"/>
    <row r="171" s="111" customFormat="1" x14ac:dyDescent="0.2"/>
    <row r="172" s="111" customFormat="1" x14ac:dyDescent="0.2"/>
    <row r="173" s="111" customFormat="1" x14ac:dyDescent="0.2"/>
    <row r="174" s="111" customFormat="1" x14ac:dyDescent="0.2"/>
    <row r="175" s="111" customFormat="1" x14ac:dyDescent="0.2"/>
    <row r="176" s="111" customFormat="1" x14ac:dyDescent="0.2"/>
    <row r="177" s="111" customFormat="1" x14ac:dyDescent="0.2"/>
    <row r="178" s="111" customFormat="1" x14ac:dyDescent="0.2"/>
    <row r="179" s="111" customFormat="1" x14ac:dyDescent="0.2"/>
    <row r="180" s="111" customFormat="1" x14ac:dyDescent="0.2"/>
    <row r="181" s="111" customFormat="1" x14ac:dyDescent="0.2"/>
    <row r="182" s="111" customFormat="1" x14ac:dyDescent="0.2"/>
    <row r="183" s="111" customFormat="1" x14ac:dyDescent="0.2"/>
    <row r="184" s="111" customFormat="1" x14ac:dyDescent="0.2"/>
    <row r="185" s="111" customFormat="1" x14ac:dyDescent="0.2"/>
    <row r="186" s="111" customFormat="1" x14ac:dyDescent="0.2"/>
    <row r="187" s="111" customFormat="1" x14ac:dyDescent="0.2"/>
    <row r="188" s="111" customFormat="1" x14ac:dyDescent="0.2"/>
    <row r="189" s="111" customFormat="1" x14ac:dyDescent="0.2"/>
    <row r="190" s="111" customFormat="1" x14ac:dyDescent="0.2"/>
    <row r="191" s="111" customFormat="1" x14ac:dyDescent="0.2"/>
    <row r="192" s="111" customFormat="1" x14ac:dyDescent="0.2"/>
    <row r="193" s="111" customFormat="1" x14ac:dyDescent="0.2"/>
    <row r="194" s="111" customFormat="1" x14ac:dyDescent="0.2"/>
    <row r="195" s="111" customFormat="1" x14ac:dyDescent="0.2"/>
    <row r="196" s="111" customFormat="1" x14ac:dyDescent="0.2"/>
    <row r="197" s="111" customFormat="1" x14ac:dyDescent="0.2"/>
    <row r="198" s="111" customFormat="1" x14ac:dyDescent="0.2"/>
    <row r="199" s="111" customFormat="1" x14ac:dyDescent="0.2"/>
    <row r="200" s="111" customFormat="1" x14ac:dyDescent="0.2"/>
    <row r="201" s="111" customFormat="1" x14ac:dyDescent="0.2"/>
    <row r="202" s="111" customFormat="1" x14ac:dyDescent="0.2"/>
    <row r="203" s="111" customFormat="1" x14ac:dyDescent="0.2"/>
    <row r="204" s="111" customFormat="1" x14ac:dyDescent="0.2"/>
    <row r="205" s="111" customFormat="1" x14ac:dyDescent="0.2"/>
    <row r="206" s="111" customFormat="1" x14ac:dyDescent="0.2"/>
    <row r="207" s="111" customFormat="1" x14ac:dyDescent="0.2"/>
    <row r="208" s="111" customFormat="1" x14ac:dyDescent="0.2"/>
    <row r="209" s="111" customFormat="1" x14ac:dyDescent="0.2"/>
    <row r="210" s="111" customFormat="1" x14ac:dyDescent="0.2"/>
    <row r="211" s="111" customFormat="1" x14ac:dyDescent="0.2"/>
    <row r="212" s="111" customFormat="1" x14ac:dyDescent="0.2"/>
    <row r="213" s="111" customFormat="1" x14ac:dyDescent="0.2"/>
    <row r="214" s="111" customFormat="1" x14ac:dyDescent="0.2"/>
    <row r="215" s="111" customFormat="1" x14ac:dyDescent="0.2"/>
    <row r="216" s="111" customFormat="1" x14ac:dyDescent="0.2"/>
    <row r="217" s="111" customFormat="1" x14ac:dyDescent="0.2"/>
    <row r="218" s="111" customFormat="1" x14ac:dyDescent="0.2"/>
    <row r="219" s="111" customFormat="1" x14ac:dyDescent="0.2"/>
    <row r="220" s="111" customFormat="1" x14ac:dyDescent="0.2"/>
    <row r="221" s="111" customFormat="1" x14ac:dyDescent="0.2"/>
    <row r="222" s="111" customFormat="1" x14ac:dyDescent="0.2"/>
    <row r="223" s="111" customFormat="1" x14ac:dyDescent="0.2"/>
    <row r="224" s="111" customFormat="1" x14ac:dyDescent="0.2"/>
    <row r="225" s="111" customFormat="1" x14ac:dyDescent="0.2"/>
    <row r="226" s="111" customFormat="1" x14ac:dyDescent="0.2"/>
    <row r="227" s="111" customFormat="1" x14ac:dyDescent="0.2"/>
    <row r="228" s="111" customFormat="1" x14ac:dyDescent="0.2"/>
    <row r="229" s="111" customFormat="1" x14ac:dyDescent="0.2"/>
    <row r="230" s="111" customFormat="1" x14ac:dyDescent="0.2"/>
    <row r="231" s="111" customFormat="1" x14ac:dyDescent="0.2"/>
    <row r="232" s="111" customFormat="1" x14ac:dyDescent="0.2"/>
    <row r="233" s="111" customFormat="1" x14ac:dyDescent="0.2"/>
    <row r="234" s="111" customFormat="1" x14ac:dyDescent="0.2"/>
    <row r="235" s="111" customFormat="1" x14ac:dyDescent="0.2"/>
    <row r="236" s="111" customFormat="1" x14ac:dyDescent="0.2"/>
    <row r="237" s="111" customFormat="1" x14ac:dyDescent="0.2"/>
    <row r="238" s="111" customFormat="1" x14ac:dyDescent="0.2"/>
    <row r="239" s="111" customFormat="1" x14ac:dyDescent="0.2"/>
    <row r="240" s="111" customFormat="1" x14ac:dyDescent="0.2"/>
    <row r="241" s="111" customFormat="1" x14ac:dyDescent="0.2"/>
    <row r="242" s="111" customFormat="1" x14ac:dyDescent="0.2"/>
    <row r="243" s="111" customFormat="1" x14ac:dyDescent="0.2"/>
    <row r="244" s="111" customFormat="1" x14ac:dyDescent="0.2"/>
    <row r="245" s="111" customFormat="1" x14ac:dyDescent="0.2"/>
    <row r="246" s="111" customFormat="1" x14ac:dyDescent="0.2"/>
    <row r="247" s="111" customFormat="1" x14ac:dyDescent="0.2"/>
    <row r="248" s="111" customFormat="1" x14ac:dyDescent="0.2"/>
    <row r="249" s="111" customFormat="1" x14ac:dyDescent="0.2"/>
    <row r="250" s="111" customFormat="1" x14ac:dyDescent="0.2"/>
    <row r="251" s="111" customFormat="1" x14ac:dyDescent="0.2"/>
    <row r="252" s="111" customFormat="1" x14ac:dyDescent="0.2"/>
    <row r="253" s="111" customFormat="1" x14ac:dyDescent="0.2"/>
    <row r="254" s="111" customFormat="1" x14ac:dyDescent="0.2"/>
    <row r="255" s="111" customFormat="1" x14ac:dyDescent="0.2"/>
    <row r="256" s="111" customFormat="1" x14ac:dyDescent="0.2"/>
    <row r="257" s="111" customFormat="1" x14ac:dyDescent="0.2"/>
    <row r="258" s="111" customFormat="1" x14ac:dyDescent="0.2"/>
    <row r="259" s="111" customFormat="1" x14ac:dyDescent="0.2"/>
    <row r="260" s="111" customFormat="1" x14ac:dyDescent="0.2"/>
    <row r="261" s="111" customFormat="1" x14ac:dyDescent="0.2"/>
    <row r="262" s="111" customFormat="1" x14ac:dyDescent="0.2"/>
    <row r="263" s="111" customFormat="1" x14ac:dyDescent="0.2"/>
    <row r="264" s="111" customFormat="1" x14ac:dyDescent="0.2"/>
    <row r="265" s="111" customFormat="1" x14ac:dyDescent="0.2"/>
    <row r="266" s="111" customFormat="1" x14ac:dyDescent="0.2"/>
    <row r="267" s="111" customFormat="1" x14ac:dyDescent="0.2"/>
    <row r="268" s="111" customFormat="1" x14ac:dyDescent="0.2"/>
    <row r="269" s="111" customFormat="1" x14ac:dyDescent="0.2"/>
    <row r="270" s="111" customFormat="1" x14ac:dyDescent="0.2"/>
    <row r="271" s="111" customFormat="1" x14ac:dyDescent="0.2"/>
    <row r="272" s="111" customFormat="1" x14ac:dyDescent="0.2"/>
    <row r="273" s="111" customFormat="1" x14ac:dyDescent="0.2"/>
    <row r="274" s="111" customFormat="1" x14ac:dyDescent="0.2"/>
    <row r="275" s="111" customFormat="1" x14ac:dyDescent="0.2"/>
    <row r="276" s="111" customFormat="1" x14ac:dyDescent="0.2"/>
    <row r="277" s="111" customFormat="1" x14ac:dyDescent="0.2"/>
    <row r="278" s="111" customFormat="1" x14ac:dyDescent="0.2"/>
    <row r="279" s="111" customFormat="1" x14ac:dyDescent="0.2"/>
    <row r="280" s="111" customFormat="1" x14ac:dyDescent="0.2"/>
    <row r="281" s="111" customFormat="1" x14ac:dyDescent="0.2"/>
    <row r="282" s="111" customFormat="1" x14ac:dyDescent="0.2"/>
    <row r="283" s="111" customFormat="1" x14ac:dyDescent="0.2"/>
    <row r="284" s="111" customFormat="1" x14ac:dyDescent="0.2"/>
    <row r="285" s="111" customFormat="1" x14ac:dyDescent="0.2"/>
    <row r="286" s="111" customFormat="1" x14ac:dyDescent="0.2"/>
    <row r="287" s="111" customFormat="1" x14ac:dyDescent="0.2"/>
    <row r="288" s="111" customFormat="1" x14ac:dyDescent="0.2"/>
    <row r="289" s="111" customFormat="1" x14ac:dyDescent="0.2"/>
    <row r="290" s="111" customFormat="1" x14ac:dyDescent="0.2"/>
    <row r="291" s="111" customFormat="1" x14ac:dyDescent="0.2"/>
    <row r="292" s="111" customFormat="1" x14ac:dyDescent="0.2"/>
    <row r="293" s="111" customFormat="1" x14ac:dyDescent="0.2"/>
    <row r="294" s="111" customFormat="1" x14ac:dyDescent="0.2"/>
    <row r="295" s="111" customFormat="1" x14ac:dyDescent="0.2"/>
    <row r="296" s="111" customFormat="1" x14ac:dyDescent="0.2"/>
    <row r="297" s="111" customFormat="1" x14ac:dyDescent="0.2"/>
    <row r="298" s="111" customFormat="1" x14ac:dyDescent="0.2"/>
    <row r="299" s="111" customFormat="1" x14ac:dyDescent="0.2"/>
    <row r="300" s="111" customFormat="1" x14ac:dyDescent="0.2"/>
    <row r="301" s="111" customFormat="1" x14ac:dyDescent="0.2"/>
    <row r="302" s="111" customFormat="1" x14ac:dyDescent="0.2"/>
    <row r="303" s="111" customFormat="1" x14ac:dyDescent="0.2"/>
    <row r="304" s="111" customFormat="1" x14ac:dyDescent="0.2"/>
    <row r="305" s="111" customFormat="1" x14ac:dyDescent="0.2"/>
    <row r="306" s="111" customFormat="1" x14ac:dyDescent="0.2"/>
    <row r="307" s="111" customFormat="1" x14ac:dyDescent="0.2"/>
    <row r="308" s="111" customFormat="1" x14ac:dyDescent="0.2"/>
    <row r="309" s="111" customFormat="1" x14ac:dyDescent="0.2"/>
    <row r="310" s="111" customFormat="1" x14ac:dyDescent="0.2"/>
    <row r="311" s="111" customFormat="1" x14ac:dyDescent="0.2"/>
    <row r="312" s="111" customFormat="1" x14ac:dyDescent="0.2"/>
    <row r="313" s="111" customFormat="1" x14ac:dyDescent="0.2"/>
    <row r="314" s="111" customFormat="1" x14ac:dyDescent="0.2"/>
    <row r="315" s="111" customFormat="1" x14ac:dyDescent="0.2"/>
    <row r="316" s="111" customFormat="1" x14ac:dyDescent="0.2"/>
    <row r="317" s="111" customFormat="1" x14ac:dyDescent="0.2"/>
    <row r="318" s="111" customFormat="1" x14ac:dyDescent="0.2"/>
    <row r="319" s="111" customFormat="1" x14ac:dyDescent="0.2"/>
    <row r="320" s="111" customFormat="1" x14ac:dyDescent="0.2"/>
    <row r="321" s="111" customFormat="1" x14ac:dyDescent="0.2"/>
    <row r="322" s="111" customFormat="1" x14ac:dyDescent="0.2"/>
    <row r="323" s="111" customFormat="1" x14ac:dyDescent="0.2"/>
    <row r="324" s="111" customFormat="1" x14ac:dyDescent="0.2"/>
    <row r="325" s="111" customFormat="1" x14ac:dyDescent="0.2"/>
    <row r="326" s="111" customFormat="1" x14ac:dyDescent="0.2"/>
    <row r="327" s="111" customFormat="1" x14ac:dyDescent="0.2"/>
    <row r="328" s="111" customFormat="1" x14ac:dyDescent="0.2"/>
    <row r="329" s="111" customFormat="1" x14ac:dyDescent="0.2"/>
    <row r="330" s="111" customFormat="1" x14ac:dyDescent="0.2"/>
    <row r="331" s="111" customFormat="1" x14ac:dyDescent="0.2"/>
    <row r="332" s="111" customFormat="1" x14ac:dyDescent="0.2"/>
    <row r="333" s="111" customFormat="1" x14ac:dyDescent="0.2"/>
    <row r="334" s="111" customFormat="1" x14ac:dyDescent="0.2"/>
    <row r="335" s="111" customFormat="1" x14ac:dyDescent="0.2"/>
    <row r="336" s="111" customFormat="1" x14ac:dyDescent="0.2"/>
    <row r="337" s="111" customFormat="1" x14ac:dyDescent="0.2"/>
    <row r="338" s="111" customFormat="1" x14ac:dyDescent="0.2"/>
    <row r="339" s="111" customFormat="1" x14ac:dyDescent="0.2"/>
    <row r="340" s="111" customFormat="1" x14ac:dyDescent="0.2"/>
    <row r="341" s="111" customFormat="1" x14ac:dyDescent="0.2"/>
    <row r="342" s="111" customFormat="1" x14ac:dyDescent="0.2"/>
    <row r="343" s="111" customFormat="1" x14ac:dyDescent="0.2"/>
    <row r="344" s="111" customFormat="1" x14ac:dyDescent="0.2"/>
    <row r="345" s="111" customFormat="1" x14ac:dyDescent="0.2"/>
    <row r="346" s="111" customFormat="1" x14ac:dyDescent="0.2"/>
    <row r="347" s="111" customFormat="1" x14ac:dyDescent="0.2"/>
    <row r="348" s="111" customFormat="1" x14ac:dyDescent="0.2"/>
    <row r="349" s="111" customFormat="1" x14ac:dyDescent="0.2"/>
    <row r="350" s="111" customFormat="1" x14ac:dyDescent="0.2"/>
    <row r="351" s="111" customFormat="1" x14ac:dyDescent="0.2"/>
    <row r="352" s="111" customFormat="1" x14ac:dyDescent="0.2"/>
    <row r="353" s="111" customFormat="1" x14ac:dyDescent="0.2"/>
    <row r="354" s="111" customFormat="1" x14ac:dyDescent="0.2"/>
    <row r="355" s="111" customFormat="1" x14ac:dyDescent="0.2"/>
    <row r="356" s="111" customFormat="1" x14ac:dyDescent="0.2"/>
    <row r="357" s="111" customFormat="1" x14ac:dyDescent="0.2"/>
    <row r="358" s="111" customFormat="1" x14ac:dyDescent="0.2"/>
    <row r="359" s="111" customFormat="1" x14ac:dyDescent="0.2"/>
    <row r="360" s="111" customFormat="1" x14ac:dyDescent="0.2"/>
    <row r="361" s="111" customFormat="1" x14ac:dyDescent="0.2"/>
    <row r="362" s="111" customFormat="1" x14ac:dyDescent="0.2"/>
    <row r="363" s="111" customFormat="1" x14ac:dyDescent="0.2"/>
    <row r="364" s="111" customFormat="1" x14ac:dyDescent="0.2"/>
    <row r="365" s="111" customFormat="1" x14ac:dyDescent="0.2"/>
    <row r="366" s="111" customFormat="1" x14ac:dyDescent="0.2"/>
    <row r="367" s="111" customFormat="1" x14ac:dyDescent="0.2"/>
    <row r="368" s="111" customFormat="1" x14ac:dyDescent="0.2"/>
    <row r="369" s="111" customFormat="1" x14ac:dyDescent="0.2"/>
    <row r="370" s="111" customFormat="1" x14ac:dyDescent="0.2"/>
    <row r="371" s="111" customFormat="1" x14ac:dyDescent="0.2"/>
    <row r="372" s="111" customFormat="1" x14ac:dyDescent="0.2"/>
    <row r="373" s="111" customFormat="1" x14ac:dyDescent="0.2"/>
    <row r="374" s="111" customFormat="1" x14ac:dyDescent="0.2"/>
    <row r="375" s="111" customFormat="1" x14ac:dyDescent="0.2"/>
    <row r="376" s="111" customFormat="1" x14ac:dyDescent="0.2"/>
    <row r="377" s="111" customFormat="1" x14ac:dyDescent="0.2"/>
    <row r="378" s="111" customFormat="1" x14ac:dyDescent="0.2"/>
    <row r="379" s="111" customFormat="1" x14ac:dyDescent="0.2"/>
    <row r="380" s="111" customFormat="1" x14ac:dyDescent="0.2"/>
    <row r="381" s="111" customFormat="1" x14ac:dyDescent="0.2"/>
    <row r="382" s="111" customFormat="1" x14ac:dyDescent="0.2"/>
    <row r="383" s="111" customFormat="1" x14ac:dyDescent="0.2"/>
    <row r="384" s="111" customFormat="1" x14ac:dyDescent="0.2"/>
    <row r="385" s="111" customFormat="1" x14ac:dyDescent="0.2"/>
    <row r="386" s="111" customFormat="1" x14ac:dyDescent="0.2"/>
    <row r="387" s="111" customFormat="1" x14ac:dyDescent="0.2"/>
    <row r="388" s="111" customFormat="1" x14ac:dyDescent="0.2"/>
    <row r="389" s="111" customFormat="1" x14ac:dyDescent="0.2"/>
    <row r="390" s="111" customFormat="1" x14ac:dyDescent="0.2"/>
    <row r="391" s="111" customFormat="1" x14ac:dyDescent="0.2"/>
    <row r="392" s="111" customFormat="1" x14ac:dyDescent="0.2"/>
    <row r="393" s="111" customFormat="1" x14ac:dyDescent="0.2"/>
    <row r="394" s="111" customFormat="1" x14ac:dyDescent="0.2"/>
    <row r="395" s="111" customFormat="1" x14ac:dyDescent="0.2"/>
    <row r="396" s="111" customFormat="1" x14ac:dyDescent="0.2"/>
    <row r="397" s="111" customFormat="1" x14ac:dyDescent="0.2"/>
    <row r="398" s="111" customFormat="1" x14ac:dyDescent="0.2"/>
    <row r="399" s="111" customFormat="1" x14ac:dyDescent="0.2"/>
    <row r="400" s="111" customFormat="1" x14ac:dyDescent="0.2"/>
    <row r="401" s="111" customFormat="1" x14ac:dyDescent="0.2"/>
    <row r="402" s="111" customFormat="1" x14ac:dyDescent="0.2"/>
    <row r="403" s="111" customFormat="1" x14ac:dyDescent="0.2"/>
    <row r="404" s="111" customFormat="1" x14ac:dyDescent="0.2"/>
    <row r="405" s="111" customFormat="1" x14ac:dyDescent="0.2"/>
    <row r="406" s="111" customFormat="1" x14ac:dyDescent="0.2"/>
    <row r="407" s="111" customFormat="1" x14ac:dyDescent="0.2"/>
    <row r="408" s="111" customFormat="1" x14ac:dyDescent="0.2"/>
    <row r="409" s="111" customFormat="1" x14ac:dyDescent="0.2"/>
    <row r="410" s="111" customFormat="1" x14ac:dyDescent="0.2"/>
    <row r="411" s="111" customFormat="1" x14ac:dyDescent="0.2"/>
    <row r="412" s="111" customFormat="1" x14ac:dyDescent="0.2"/>
    <row r="413" s="111" customFormat="1" x14ac:dyDescent="0.2"/>
    <row r="414" s="111" customFormat="1" x14ac:dyDescent="0.2"/>
    <row r="415" s="111" customFormat="1" x14ac:dyDescent="0.2"/>
    <row r="416" s="111" customFormat="1" x14ac:dyDescent="0.2"/>
    <row r="417" s="111" customFormat="1" x14ac:dyDescent="0.2"/>
    <row r="418" s="111" customFormat="1" x14ac:dyDescent="0.2"/>
    <row r="419" s="111" customFormat="1" x14ac:dyDescent="0.2"/>
    <row r="420" s="111" customFormat="1" x14ac:dyDescent="0.2"/>
    <row r="421" s="111" customFormat="1" x14ac:dyDescent="0.2"/>
    <row r="422" s="111" customFormat="1" x14ac:dyDescent="0.2"/>
    <row r="423" s="111" customFormat="1" x14ac:dyDescent="0.2"/>
    <row r="424" s="111" customFormat="1" x14ac:dyDescent="0.2"/>
    <row r="425" s="111" customFormat="1" x14ac:dyDescent="0.2"/>
    <row r="426" s="111" customFormat="1" x14ac:dyDescent="0.2"/>
    <row r="427" s="111" customFormat="1" x14ac:dyDescent="0.2"/>
    <row r="428" s="111" customFormat="1" x14ac:dyDescent="0.2"/>
    <row r="429" s="111" customFormat="1" x14ac:dyDescent="0.2"/>
    <row r="430" s="111" customFormat="1" x14ac:dyDescent="0.2"/>
    <row r="431" s="111" customFormat="1" x14ac:dyDescent="0.2"/>
    <row r="432" s="111" customFormat="1" x14ac:dyDescent="0.2"/>
    <row r="433" s="111" customFormat="1" x14ac:dyDescent="0.2"/>
    <row r="434" s="111" customFormat="1" x14ac:dyDescent="0.2"/>
    <row r="435" s="111" customFormat="1" x14ac:dyDescent="0.2"/>
    <row r="436" s="111" customFormat="1" x14ac:dyDescent="0.2"/>
    <row r="437" s="111" customFormat="1" x14ac:dyDescent="0.2"/>
    <row r="438" s="111" customFormat="1" x14ac:dyDescent="0.2"/>
    <row r="439" s="111" customFormat="1" x14ac:dyDescent="0.2"/>
    <row r="440" s="111" customFormat="1" x14ac:dyDescent="0.2"/>
    <row r="441" s="111" customFormat="1" x14ac:dyDescent="0.2"/>
    <row r="442" s="111" customFormat="1" x14ac:dyDescent="0.2"/>
    <row r="443" s="111" customFormat="1" x14ac:dyDescent="0.2"/>
    <row r="444" s="111" customFormat="1" x14ac:dyDescent="0.2"/>
    <row r="445" s="111" customFormat="1" x14ac:dyDescent="0.2"/>
    <row r="446" s="111" customFormat="1" x14ac:dyDescent="0.2"/>
    <row r="447" s="111" customFormat="1" x14ac:dyDescent="0.2"/>
    <row r="448" s="111" customFormat="1" x14ac:dyDescent="0.2"/>
    <row r="449" s="111" customFormat="1" x14ac:dyDescent="0.2"/>
    <row r="450" s="111" customFormat="1" x14ac:dyDescent="0.2"/>
    <row r="451" s="111" customFormat="1" x14ac:dyDescent="0.2"/>
    <row r="452" s="111" customFormat="1" x14ac:dyDescent="0.2"/>
    <row r="453" s="111" customFormat="1" x14ac:dyDescent="0.2"/>
    <row r="454" s="111" customFormat="1" x14ac:dyDescent="0.2"/>
    <row r="455" s="111" customFormat="1" x14ac:dyDescent="0.2"/>
    <row r="456" s="111" customFormat="1" x14ac:dyDescent="0.2"/>
    <row r="457" s="111" customFormat="1" x14ac:dyDescent="0.2"/>
    <row r="458" s="111" customFormat="1" x14ac:dyDescent="0.2"/>
    <row r="459" s="111" customFormat="1" x14ac:dyDescent="0.2"/>
    <row r="460" s="111" customFormat="1" x14ac:dyDescent="0.2"/>
    <row r="461" s="111" customFormat="1" x14ac:dyDescent="0.2"/>
    <row r="462" s="111" customFormat="1" x14ac:dyDescent="0.2"/>
    <row r="463" s="111" customFormat="1" x14ac:dyDescent="0.2"/>
    <row r="464" s="111" customFormat="1" x14ac:dyDescent="0.2"/>
    <row r="465" s="111" customFormat="1" x14ac:dyDescent="0.2"/>
    <row r="466" s="111" customFormat="1" x14ac:dyDescent="0.2"/>
    <row r="467" s="111" customFormat="1" x14ac:dyDescent="0.2"/>
    <row r="468" s="111" customFormat="1" x14ac:dyDescent="0.2"/>
    <row r="469" s="111" customFormat="1" x14ac:dyDescent="0.2"/>
    <row r="470" s="111" customFormat="1" x14ac:dyDescent="0.2"/>
    <row r="471" s="111" customFormat="1" x14ac:dyDescent="0.2"/>
    <row r="472" s="111" customFormat="1" x14ac:dyDescent="0.2"/>
    <row r="473" s="111" customFormat="1" x14ac:dyDescent="0.2"/>
    <row r="474" s="111" customFormat="1" x14ac:dyDescent="0.2"/>
    <row r="475" s="111" customFormat="1" x14ac:dyDescent="0.2"/>
    <row r="476" s="111" customFormat="1" x14ac:dyDescent="0.2"/>
    <row r="477" s="111" customFormat="1" x14ac:dyDescent="0.2"/>
    <row r="478" s="111" customFormat="1" x14ac:dyDescent="0.2"/>
    <row r="479" s="111" customFormat="1" x14ac:dyDescent="0.2"/>
    <row r="480" s="111" customFormat="1" x14ac:dyDescent="0.2"/>
    <row r="481" s="111" customFormat="1" x14ac:dyDescent="0.2"/>
    <row r="482" s="111" customFormat="1" x14ac:dyDescent="0.2"/>
    <row r="483" s="111" customFormat="1" x14ac:dyDescent="0.2"/>
    <row r="484" s="111" customFormat="1" x14ac:dyDescent="0.2"/>
    <row r="485" s="111" customFormat="1" x14ac:dyDescent="0.2"/>
    <row r="486" s="111" customFormat="1" x14ac:dyDescent="0.2"/>
    <row r="487" s="111" customFormat="1" x14ac:dyDescent="0.2"/>
    <row r="488" s="111" customFormat="1" x14ac:dyDescent="0.2"/>
    <row r="489" s="111" customFormat="1" x14ac:dyDescent="0.2"/>
    <row r="490" s="111" customFormat="1" x14ac:dyDescent="0.2"/>
    <row r="491" s="111" customFormat="1" x14ac:dyDescent="0.2"/>
    <row r="492" s="111" customFormat="1" x14ac:dyDescent="0.2"/>
    <row r="493" s="111" customFormat="1" x14ac:dyDescent="0.2"/>
    <row r="494" s="111" customFormat="1" x14ac:dyDescent="0.2"/>
    <row r="495" s="111" customFormat="1" x14ac:dyDescent="0.2"/>
    <row r="496" s="111" customFormat="1" x14ac:dyDescent="0.2"/>
    <row r="497" s="111" customFormat="1" x14ac:dyDescent="0.2"/>
    <row r="498" s="111" customFormat="1" x14ac:dyDescent="0.2"/>
    <row r="499" s="111" customFormat="1" x14ac:dyDescent="0.2"/>
    <row r="500" s="111" customFormat="1" x14ac:dyDescent="0.2"/>
    <row r="501" s="111" customFormat="1" x14ac:dyDescent="0.2"/>
    <row r="502" s="111" customFormat="1" x14ac:dyDescent="0.2"/>
    <row r="503" s="111" customFormat="1" x14ac:dyDescent="0.2"/>
    <row r="504" s="111" customFormat="1" x14ac:dyDescent="0.2"/>
    <row r="505" s="111" customFormat="1" x14ac:dyDescent="0.2"/>
    <row r="506" s="111" customFormat="1" x14ac:dyDescent="0.2"/>
    <row r="507" s="111" customFormat="1" x14ac:dyDescent="0.2"/>
    <row r="508" s="111" customFormat="1" x14ac:dyDescent="0.2"/>
    <row r="509" s="111" customFormat="1" x14ac:dyDescent="0.2"/>
    <row r="510" s="111" customFormat="1" x14ac:dyDescent="0.2"/>
    <row r="511" s="111" customFormat="1" x14ac:dyDescent="0.2"/>
    <row r="512" s="111" customFormat="1" x14ac:dyDescent="0.2"/>
    <row r="513" s="111" customFormat="1" x14ac:dyDescent="0.2"/>
    <row r="514" s="111" customFormat="1" x14ac:dyDescent="0.2"/>
    <row r="515" s="111" customFormat="1" x14ac:dyDescent="0.2"/>
    <row r="516" s="111" customFormat="1" x14ac:dyDescent="0.2"/>
    <row r="517" s="111" customFormat="1" x14ac:dyDescent="0.2"/>
    <row r="518" s="111" customFormat="1" x14ac:dyDescent="0.2"/>
    <row r="519" s="111" customFormat="1" x14ac:dyDescent="0.2"/>
    <row r="520" s="111" customFormat="1" x14ac:dyDescent="0.2"/>
    <row r="521" s="111" customFormat="1" x14ac:dyDescent="0.2"/>
    <row r="522" s="111" customFormat="1" x14ac:dyDescent="0.2"/>
    <row r="523" s="111" customFormat="1" x14ac:dyDescent="0.2"/>
    <row r="524" s="111" customFormat="1" x14ac:dyDescent="0.2"/>
    <row r="525" s="111" customFormat="1" x14ac:dyDescent="0.2"/>
    <row r="526" s="111" customFormat="1" x14ac:dyDescent="0.2"/>
    <row r="527" s="111" customFormat="1" x14ac:dyDescent="0.2"/>
    <row r="528" s="111" customFormat="1" x14ac:dyDescent="0.2"/>
    <row r="529" s="111" customFormat="1" x14ac:dyDescent="0.2"/>
    <row r="530" s="111" customFormat="1" x14ac:dyDescent="0.2"/>
    <row r="531" s="111" customFormat="1" x14ac:dyDescent="0.2"/>
    <row r="532" s="111" customFormat="1" x14ac:dyDescent="0.2"/>
    <row r="533" s="111" customFormat="1" x14ac:dyDescent="0.2"/>
    <row r="534" s="111" customFormat="1" x14ac:dyDescent="0.2"/>
    <row r="535" s="111" customFormat="1" x14ac:dyDescent="0.2"/>
    <row r="536" s="111" customFormat="1" x14ac:dyDescent="0.2"/>
    <row r="537" s="111" customFormat="1" x14ac:dyDescent="0.2"/>
    <row r="538" s="111" customFormat="1" x14ac:dyDescent="0.2"/>
    <row r="539" s="111" customFormat="1" x14ac:dyDescent="0.2"/>
    <row r="540" s="111" customFormat="1" x14ac:dyDescent="0.2"/>
    <row r="541" s="111" customFormat="1" x14ac:dyDescent="0.2"/>
    <row r="542" s="111" customFormat="1" x14ac:dyDescent="0.2"/>
    <row r="543" s="111" customFormat="1" x14ac:dyDescent="0.2"/>
    <row r="544" s="111" customFormat="1" x14ac:dyDescent="0.2"/>
    <row r="545" s="111" customFormat="1" x14ac:dyDescent="0.2"/>
    <row r="546" s="111" customFormat="1" x14ac:dyDescent="0.2"/>
    <row r="547" s="111" customFormat="1" x14ac:dyDescent="0.2"/>
    <row r="548" s="111" customFormat="1" x14ac:dyDescent="0.2"/>
    <row r="549" s="111" customFormat="1" x14ac:dyDescent="0.2"/>
    <row r="550" s="111" customFormat="1" x14ac:dyDescent="0.2"/>
    <row r="551" s="111" customFormat="1" x14ac:dyDescent="0.2"/>
    <row r="552" s="111" customFormat="1" x14ac:dyDescent="0.2"/>
    <row r="553" s="111" customFormat="1" x14ac:dyDescent="0.2"/>
    <row r="554" s="111" customFormat="1" x14ac:dyDescent="0.2"/>
    <row r="555" s="111" customFormat="1" x14ac:dyDescent="0.2"/>
    <row r="556" s="111" customFormat="1" x14ac:dyDescent="0.2"/>
    <row r="557" s="111" customFormat="1" x14ac:dyDescent="0.2"/>
    <row r="558" s="111" customFormat="1" x14ac:dyDescent="0.2"/>
    <row r="559" s="111" customFormat="1" x14ac:dyDescent="0.2"/>
    <row r="560" s="111" customFormat="1" x14ac:dyDescent="0.2"/>
    <row r="561" s="111" customFormat="1" x14ac:dyDescent="0.2"/>
    <row r="562" s="111" customFormat="1" x14ac:dyDescent="0.2"/>
    <row r="563" s="111" customFormat="1" x14ac:dyDescent="0.2"/>
    <row r="564" s="111" customFormat="1" x14ac:dyDescent="0.2"/>
    <row r="565" s="111" customFormat="1" x14ac:dyDescent="0.2"/>
    <row r="566" s="111" customFormat="1" x14ac:dyDescent="0.2"/>
    <row r="567" s="111" customFormat="1" x14ac:dyDescent="0.2"/>
    <row r="568" s="111" customFormat="1" x14ac:dyDescent="0.2"/>
    <row r="569" s="111" customFormat="1" x14ac:dyDescent="0.2"/>
    <row r="570" s="111" customFormat="1" x14ac:dyDescent="0.2"/>
    <row r="571" s="111" customFormat="1" x14ac:dyDescent="0.2"/>
    <row r="572" s="111" customFormat="1" x14ac:dyDescent="0.2"/>
    <row r="573" s="111" customFormat="1" x14ac:dyDescent="0.2"/>
    <row r="574" s="111" customFormat="1" x14ac:dyDescent="0.2"/>
    <row r="575" s="111" customFormat="1" x14ac:dyDescent="0.2"/>
    <row r="576" s="111" customFormat="1" x14ac:dyDescent="0.2"/>
    <row r="577" s="111" customFormat="1" x14ac:dyDescent="0.2"/>
    <row r="578" s="111" customFormat="1" x14ac:dyDescent="0.2"/>
    <row r="579" s="111" customFormat="1" x14ac:dyDescent="0.2"/>
    <row r="580" s="111" customFormat="1" x14ac:dyDescent="0.2"/>
    <row r="581" s="111" customFormat="1" x14ac:dyDescent="0.2"/>
    <row r="582" s="111" customFormat="1" x14ac:dyDescent="0.2"/>
    <row r="583" s="111" customFormat="1" x14ac:dyDescent="0.2"/>
    <row r="584" s="111" customFormat="1" x14ac:dyDescent="0.2"/>
    <row r="585" s="111" customFormat="1" x14ac:dyDescent="0.2"/>
    <row r="586" s="111" customFormat="1" x14ac:dyDescent="0.2"/>
    <row r="587" s="111" customFormat="1" x14ac:dyDescent="0.2"/>
    <row r="588" s="111" customFormat="1" x14ac:dyDescent="0.2"/>
    <row r="589" s="111" customFormat="1" x14ac:dyDescent="0.2"/>
    <row r="590" s="111" customFormat="1" x14ac:dyDescent="0.2"/>
    <row r="591" s="111" customFormat="1" x14ac:dyDescent="0.2"/>
    <row r="592" s="111" customFormat="1" x14ac:dyDescent="0.2"/>
    <row r="593" s="111" customFormat="1" x14ac:dyDescent="0.2"/>
    <row r="594" s="111" customFormat="1" x14ac:dyDescent="0.2"/>
    <row r="595" s="111" customFormat="1" x14ac:dyDescent="0.2"/>
    <row r="596" s="111" customFormat="1" x14ac:dyDescent="0.2"/>
    <row r="597" s="111" customFormat="1" x14ac:dyDescent="0.2"/>
    <row r="598" s="111" customFormat="1" x14ac:dyDescent="0.2"/>
    <row r="599" s="111" customFormat="1" x14ac:dyDescent="0.2"/>
    <row r="600" s="111" customFormat="1" x14ac:dyDescent="0.2"/>
    <row r="601" s="111" customFormat="1" x14ac:dyDescent="0.2"/>
    <row r="602" s="111" customFormat="1" x14ac:dyDescent="0.2"/>
    <row r="603" s="111" customFormat="1" x14ac:dyDescent="0.2"/>
    <row r="604" s="111" customFormat="1" x14ac:dyDescent="0.2"/>
    <row r="605" s="111" customFormat="1" x14ac:dyDescent="0.2"/>
    <row r="606" s="111" customFormat="1" x14ac:dyDescent="0.2"/>
    <row r="607" s="111" customFormat="1" x14ac:dyDescent="0.2"/>
    <row r="608" s="111" customFormat="1" x14ac:dyDescent="0.2"/>
    <row r="609" s="111" customFormat="1" x14ac:dyDescent="0.2"/>
    <row r="610" s="111" customFormat="1" x14ac:dyDescent="0.2"/>
    <row r="611" s="111" customFormat="1" x14ac:dyDescent="0.2"/>
    <row r="612" s="111" customFormat="1" x14ac:dyDescent="0.2"/>
    <row r="613" s="111" customFormat="1" x14ac:dyDescent="0.2"/>
    <row r="614" s="111" customFormat="1" x14ac:dyDescent="0.2"/>
    <row r="615" s="111" customFormat="1" x14ac:dyDescent="0.2"/>
    <row r="616" s="111" customFormat="1" x14ac:dyDescent="0.2"/>
    <row r="617" s="111" customFormat="1" x14ac:dyDescent="0.2"/>
    <row r="618" s="111" customFormat="1" x14ac:dyDescent="0.2"/>
    <row r="619" s="111" customFormat="1" x14ac:dyDescent="0.2"/>
    <row r="620" s="111" customFormat="1" x14ac:dyDescent="0.2"/>
    <row r="621" s="111" customFormat="1" x14ac:dyDescent="0.2"/>
    <row r="622" s="111" customFormat="1" x14ac:dyDescent="0.2"/>
    <row r="623" s="111" customFormat="1" x14ac:dyDescent="0.2"/>
    <row r="624" s="111" customFormat="1" x14ac:dyDescent="0.2"/>
    <row r="625" s="111" customFormat="1" x14ac:dyDescent="0.2"/>
    <row r="626" s="111" customFormat="1" x14ac:dyDescent="0.2"/>
    <row r="627" s="111" customFormat="1" x14ac:dyDescent="0.2"/>
    <row r="628" s="111" customFormat="1" x14ac:dyDescent="0.2"/>
    <row r="629" s="111" customFormat="1" x14ac:dyDescent="0.2"/>
    <row r="630" s="111" customFormat="1" x14ac:dyDescent="0.2"/>
    <row r="631" s="111" customFormat="1" x14ac:dyDescent="0.2"/>
    <row r="632" s="111" customFormat="1" x14ac:dyDescent="0.2"/>
    <row r="633" s="111" customFormat="1" x14ac:dyDescent="0.2"/>
    <row r="634" s="111" customFormat="1" x14ac:dyDescent="0.2"/>
    <row r="635" s="111" customFormat="1" x14ac:dyDescent="0.2"/>
    <row r="636" s="111" customFormat="1" x14ac:dyDescent="0.2"/>
    <row r="637" s="111" customFormat="1" x14ac:dyDescent="0.2"/>
    <row r="638" s="111" customFormat="1" x14ac:dyDescent="0.2"/>
    <row r="639" s="111" customFormat="1" x14ac:dyDescent="0.2"/>
    <row r="640" s="111" customFormat="1" x14ac:dyDescent="0.2"/>
    <row r="641" s="111" customFormat="1" x14ac:dyDescent="0.2"/>
    <row r="642" s="111" customFormat="1" x14ac:dyDescent="0.2"/>
    <row r="643" s="111" customFormat="1" x14ac:dyDescent="0.2"/>
    <row r="644" s="111" customFormat="1" x14ac:dyDescent="0.2"/>
    <row r="645" s="111" customFormat="1" x14ac:dyDescent="0.2"/>
    <row r="646" s="111" customFormat="1" x14ac:dyDescent="0.2"/>
    <row r="647" s="111" customFormat="1" x14ac:dyDescent="0.2"/>
    <row r="648" s="111" customFormat="1" x14ac:dyDescent="0.2"/>
    <row r="649" s="111" customFormat="1" x14ac:dyDescent="0.2"/>
    <row r="650" s="111" customFormat="1" x14ac:dyDescent="0.2"/>
    <row r="651" s="111" customFormat="1" x14ac:dyDescent="0.2"/>
    <row r="652" s="111" customFormat="1" x14ac:dyDescent="0.2"/>
    <row r="653" s="111" customFormat="1" x14ac:dyDescent="0.2"/>
    <row r="654" s="111" customFormat="1" x14ac:dyDescent="0.2"/>
    <row r="655" s="111" customFormat="1" x14ac:dyDescent="0.2"/>
    <row r="656" s="111" customFormat="1" x14ac:dyDescent="0.2"/>
    <row r="657" s="111" customFormat="1" x14ac:dyDescent="0.2"/>
    <row r="658" s="111" customFormat="1" x14ac:dyDescent="0.2"/>
    <row r="659" s="111" customFormat="1" x14ac:dyDescent="0.2"/>
    <row r="660" s="111" customFormat="1" x14ac:dyDescent="0.2"/>
    <row r="661" s="111" customFormat="1" x14ac:dyDescent="0.2"/>
    <row r="662" s="111" customFormat="1" x14ac:dyDescent="0.2"/>
    <row r="663" s="111" customFormat="1" x14ac:dyDescent="0.2"/>
    <row r="664" s="111" customFormat="1" x14ac:dyDescent="0.2"/>
    <row r="665" s="111" customFormat="1" x14ac:dyDescent="0.2"/>
    <row r="666" s="111" customFormat="1" x14ac:dyDescent="0.2"/>
    <row r="667" s="111" customFormat="1" x14ac:dyDescent="0.2"/>
    <row r="668" s="111" customFormat="1" x14ac:dyDescent="0.2"/>
    <row r="669" s="111" customFormat="1" x14ac:dyDescent="0.2"/>
    <row r="670" s="111" customFormat="1" x14ac:dyDescent="0.2"/>
    <row r="671" s="111" customFormat="1" x14ac:dyDescent="0.2"/>
    <row r="672" s="111" customFormat="1" x14ac:dyDescent="0.2"/>
    <row r="673" s="111" customFormat="1" x14ac:dyDescent="0.2"/>
    <row r="674" s="111" customFormat="1" x14ac:dyDescent="0.2"/>
    <row r="675" s="111" customFormat="1" x14ac:dyDescent="0.2"/>
    <row r="676" s="111" customFormat="1" x14ac:dyDescent="0.2"/>
    <row r="677" s="111" customFormat="1" x14ac:dyDescent="0.2"/>
    <row r="678" s="111" customFormat="1" x14ac:dyDescent="0.2"/>
    <row r="679" s="111" customFormat="1" x14ac:dyDescent="0.2"/>
    <row r="680" s="111" customFormat="1" x14ac:dyDescent="0.2"/>
    <row r="681" s="111" customFormat="1" x14ac:dyDescent="0.2"/>
    <row r="682" s="111" customFormat="1" x14ac:dyDescent="0.2"/>
    <row r="683" s="111" customFormat="1" x14ac:dyDescent="0.2"/>
    <row r="684" s="111" customFormat="1" x14ac:dyDescent="0.2"/>
    <row r="685" s="111" customFormat="1" x14ac:dyDescent="0.2"/>
    <row r="686" s="111" customFormat="1" x14ac:dyDescent="0.2"/>
    <row r="687" s="111" customFormat="1" x14ac:dyDescent="0.2"/>
    <row r="688" s="111" customFormat="1" x14ac:dyDescent="0.2"/>
    <row r="689" s="111" customFormat="1" x14ac:dyDescent="0.2"/>
    <row r="690" s="111" customFormat="1" x14ac:dyDescent="0.2"/>
    <row r="691" s="111" customFormat="1" x14ac:dyDescent="0.2"/>
    <row r="692" s="111" customFormat="1" x14ac:dyDescent="0.2"/>
    <row r="693" s="111" customFormat="1" x14ac:dyDescent="0.2"/>
    <row r="694" s="111" customFormat="1" x14ac:dyDescent="0.2"/>
    <row r="695" s="111" customFormat="1" x14ac:dyDescent="0.2"/>
    <row r="696" s="111" customFormat="1" x14ac:dyDescent="0.2"/>
    <row r="697" s="111" customFormat="1" x14ac:dyDescent="0.2"/>
    <row r="698" s="111" customFormat="1" x14ac:dyDescent="0.2"/>
    <row r="699" s="111" customFormat="1" x14ac:dyDescent="0.2"/>
    <row r="700" s="111" customFormat="1" x14ac:dyDescent="0.2"/>
    <row r="701" s="111" customFormat="1" x14ac:dyDescent="0.2"/>
    <row r="702" s="111" customFormat="1" x14ac:dyDescent="0.2"/>
    <row r="703" s="111" customFormat="1" x14ac:dyDescent="0.2"/>
    <row r="704" s="111" customFormat="1" x14ac:dyDescent="0.2"/>
    <row r="705" s="111" customFormat="1" x14ac:dyDescent="0.2"/>
    <row r="706" s="111" customFormat="1" x14ac:dyDescent="0.2"/>
    <row r="707" s="111" customFormat="1" x14ac:dyDescent="0.2"/>
    <row r="708" s="111" customFormat="1" x14ac:dyDescent="0.2"/>
    <row r="709" s="111" customFormat="1" x14ac:dyDescent="0.2"/>
    <row r="710" s="111" customFormat="1" x14ac:dyDescent="0.2"/>
    <row r="711" s="111" customFormat="1" x14ac:dyDescent="0.2"/>
    <row r="712" s="111" customFormat="1" x14ac:dyDescent="0.2"/>
    <row r="713" s="111" customFormat="1" x14ac:dyDescent="0.2"/>
    <row r="714" s="111" customFormat="1" x14ac:dyDescent="0.2"/>
    <row r="715" s="111" customFormat="1" x14ac:dyDescent="0.2"/>
    <row r="716" s="111" customFormat="1" x14ac:dyDescent="0.2"/>
    <row r="717" s="111" customFormat="1" x14ac:dyDescent="0.2"/>
    <row r="718" s="111" customFormat="1" x14ac:dyDescent="0.2"/>
    <row r="719" s="111" customFormat="1" x14ac:dyDescent="0.2"/>
    <row r="720" s="111" customFormat="1" x14ac:dyDescent="0.2"/>
    <row r="721" s="111" customFormat="1" x14ac:dyDescent="0.2"/>
    <row r="722" s="111" customFormat="1" x14ac:dyDescent="0.2"/>
  </sheetData>
  <mergeCells count="8">
    <mergeCell ref="P7:V7"/>
    <mergeCell ref="E4:J4"/>
    <mergeCell ref="E3:J3"/>
    <mergeCell ref="E2:J2"/>
    <mergeCell ref="E1:J1"/>
    <mergeCell ref="O4:V4"/>
    <mergeCell ref="P5:V5"/>
    <mergeCell ref="P6:V6"/>
  </mergeCells>
  <phoneticPr fontId="0" type="noConversion"/>
  <pageMargins left="0.7" right="0.7" top="0.75" bottom="0.75" header="0.3" footer="0.3"/>
  <pageSetup scale="77" orientation="portrait" r:id="rId1"/>
  <headerFooter alignWithMargins="0"/>
  <ignoredErrors>
    <ignoredError sqref="O14:O15" unlockedFormula="1"/>
  </ignoredError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4B7EB-F330-45AA-8A4D-01FC412C1697}">
  <sheetPr>
    <pageSetUpPr fitToPage="1"/>
  </sheetPr>
  <dimension ref="A1:Z760"/>
  <sheetViews>
    <sheetView tabSelected="1" zoomScaleNormal="100" workbookViewId="0">
      <selection activeCell="F27" sqref="F27"/>
    </sheetView>
  </sheetViews>
  <sheetFormatPr defaultColWidth="9.140625" defaultRowHeight="9.75" x14ac:dyDescent="0.15"/>
  <cols>
    <col min="1" max="13" width="8.5703125" style="36" customWidth="1"/>
    <col min="14" max="14" width="8.5703125" style="27" customWidth="1"/>
    <col min="15" max="22" width="11.42578125" style="27" customWidth="1"/>
    <col min="23" max="23" width="15.5703125" style="27" bestFit="1" customWidth="1"/>
    <col min="24" max="24" width="11.42578125" style="27" customWidth="1"/>
    <col min="25" max="26" width="8.5703125" style="27" customWidth="1"/>
    <col min="27" max="16384" width="9.140625" style="27"/>
  </cols>
  <sheetData>
    <row r="1" spans="1:26" ht="15" customHeight="1" x14ac:dyDescent="0.25">
      <c r="A1" s="22"/>
      <c r="B1" s="23"/>
      <c r="C1" s="23"/>
      <c r="D1" s="23"/>
      <c r="E1" s="197" t="s">
        <v>131</v>
      </c>
      <c r="F1" s="331" t="str">
        <f>+IF('Site Ground Motions'!E1="","",'Site Ground Motions'!E1)</f>
        <v/>
      </c>
      <c r="G1" s="332"/>
      <c r="H1" s="332"/>
      <c r="I1" s="332"/>
      <c r="J1" s="333"/>
      <c r="K1" s="219" t="s">
        <v>132</v>
      </c>
      <c r="L1" s="206" t="str">
        <f>+IF('Site Ground Motions'!I1="","",'Site Ground Motions'!I1)</f>
        <v/>
      </c>
      <c r="M1" s="198" t="s">
        <v>133</v>
      </c>
      <c r="N1" s="24"/>
      <c r="O1" s="25" t="s">
        <v>134</v>
      </c>
      <c r="P1" s="26"/>
      <c r="Q1" s="24"/>
      <c r="R1" s="24"/>
      <c r="S1" s="24"/>
      <c r="T1" s="24"/>
      <c r="U1" s="24"/>
      <c r="V1" s="24"/>
      <c r="W1" s="204" t="s">
        <v>178</v>
      </c>
      <c r="X1" s="205">
        <f>'Site Ground Motions'!X1</f>
        <v>2.1</v>
      </c>
      <c r="Y1" s="24"/>
      <c r="Z1" s="24"/>
    </row>
    <row r="2" spans="1:26" ht="15" customHeight="1" x14ac:dyDescent="0.2">
      <c r="A2" s="28"/>
      <c r="B2" s="29"/>
      <c r="C2" s="29"/>
      <c r="D2" s="29"/>
      <c r="E2" s="197" t="s">
        <v>135</v>
      </c>
      <c r="F2" s="331" t="str">
        <f>+IF('Site Ground Motions'!E2="","",'Site Ground Motions'!E2)</f>
        <v/>
      </c>
      <c r="G2" s="332"/>
      <c r="H2" s="332"/>
      <c r="I2" s="332"/>
      <c r="J2" s="333"/>
      <c r="K2" s="219" t="s">
        <v>136</v>
      </c>
      <c r="L2" s="220" t="str">
        <f>+IF('Site Ground Motions'!I2="","",'Site Ground Motions'!I2)</f>
        <v/>
      </c>
      <c r="M2" s="201" t="s">
        <v>173</v>
      </c>
      <c r="N2" s="24"/>
      <c r="O2" s="26" t="s">
        <v>137</v>
      </c>
      <c r="P2" s="26"/>
      <c r="Q2" s="24"/>
      <c r="R2" s="24"/>
      <c r="S2" s="24"/>
      <c r="T2" s="24"/>
      <c r="U2" s="24"/>
      <c r="V2" s="24"/>
      <c r="W2" s="204" t="s">
        <v>179</v>
      </c>
      <c r="X2" s="215">
        <f>'Site Ground Motions'!X2</f>
        <v>45201</v>
      </c>
      <c r="Y2" s="24"/>
      <c r="Z2" s="24"/>
    </row>
    <row r="3" spans="1:26" ht="15" customHeight="1" x14ac:dyDescent="0.2">
      <c r="A3" s="28"/>
      <c r="B3" s="29"/>
      <c r="C3" s="29"/>
      <c r="D3" s="29"/>
      <c r="E3" s="197" t="s">
        <v>138</v>
      </c>
      <c r="F3" s="331" t="str">
        <f>+IF('Site Ground Motions'!E3="","",'Site Ground Motions'!E3)</f>
        <v/>
      </c>
      <c r="G3" s="332"/>
      <c r="H3" s="332"/>
      <c r="I3" s="332"/>
      <c r="J3" s="333"/>
      <c r="K3" s="219" t="s">
        <v>139</v>
      </c>
      <c r="L3" s="206" t="str">
        <f>+IF('Site Ground Motions'!I3="","",'Site Ground Motions'!I3)</f>
        <v/>
      </c>
      <c r="M3" s="198" t="s">
        <v>140</v>
      </c>
      <c r="N3" s="24"/>
      <c r="O3" s="30"/>
      <c r="P3" s="30"/>
      <c r="Q3" s="24"/>
      <c r="R3" s="24"/>
      <c r="S3" s="24"/>
      <c r="T3" s="24"/>
      <c r="U3" s="24"/>
      <c r="V3" s="24"/>
      <c r="W3" s="24"/>
      <c r="X3" s="24"/>
      <c r="Y3" s="24"/>
      <c r="Z3" s="24"/>
    </row>
    <row r="4" spans="1:26" ht="15" customHeight="1" x14ac:dyDescent="0.2">
      <c r="A4" s="31"/>
      <c r="B4" s="32"/>
      <c r="C4" s="32"/>
      <c r="D4" s="32"/>
      <c r="E4" s="197" t="s">
        <v>141</v>
      </c>
      <c r="F4" s="331" t="s">
        <v>154</v>
      </c>
      <c r="G4" s="332"/>
      <c r="H4" s="332"/>
      <c r="I4" s="332"/>
      <c r="J4" s="333"/>
      <c r="K4" s="219" t="s">
        <v>136</v>
      </c>
      <c r="L4" s="206" t="str">
        <f>+IF('Site Ground Motions'!I4="","",'Site Ground Motions'!I4)</f>
        <v/>
      </c>
      <c r="M4" s="221" t="str">
        <f>+IF('Site Ground Motions'!J4="","",'Site Ground Motions'!J4)</f>
        <v/>
      </c>
      <c r="N4" s="24"/>
      <c r="O4" s="30"/>
      <c r="P4" s="30"/>
      <c r="Q4" s="24"/>
      <c r="R4" s="24"/>
      <c r="S4" s="24"/>
      <c r="T4" s="24"/>
      <c r="U4" s="24"/>
      <c r="V4" s="24"/>
      <c r="W4" s="24"/>
      <c r="X4" s="24"/>
      <c r="Y4" s="24"/>
      <c r="Z4" s="24"/>
    </row>
    <row r="5" spans="1:26" ht="15" customHeight="1" x14ac:dyDescent="0.2">
      <c r="A5" s="28"/>
      <c r="B5" s="334" t="s">
        <v>152</v>
      </c>
      <c r="C5" s="334"/>
      <c r="D5" s="334"/>
      <c r="E5" s="334"/>
      <c r="F5" s="334"/>
      <c r="G5" s="334"/>
      <c r="H5" s="334"/>
      <c r="I5" s="334"/>
      <c r="J5" s="334"/>
      <c r="K5" s="233"/>
      <c r="L5" s="233"/>
      <c r="M5" s="33"/>
      <c r="N5" s="24"/>
      <c r="O5" s="34"/>
      <c r="P5" s="30"/>
      <c r="Q5" s="24"/>
      <c r="R5" s="24"/>
      <c r="S5" s="24"/>
      <c r="T5" s="24"/>
      <c r="U5" s="24"/>
      <c r="V5" s="24"/>
      <c r="W5" s="24"/>
      <c r="X5" s="24"/>
      <c r="Y5" s="24"/>
      <c r="Z5" s="24"/>
    </row>
    <row r="6" spans="1:26" ht="15" customHeight="1" thickBot="1" x14ac:dyDescent="0.3">
      <c r="A6" s="35"/>
      <c r="B6" s="335"/>
      <c r="C6" s="335"/>
      <c r="D6" s="335"/>
      <c r="E6" s="335"/>
      <c r="F6" s="335"/>
      <c r="G6" s="335"/>
      <c r="H6" s="335"/>
      <c r="I6" s="335"/>
      <c r="J6" s="335"/>
      <c r="K6" s="233"/>
      <c r="L6" s="233"/>
      <c r="M6" s="33"/>
      <c r="N6" s="24"/>
      <c r="O6" s="316" t="s">
        <v>164</v>
      </c>
      <c r="P6" s="316"/>
      <c r="Q6" s="316"/>
      <c r="R6" s="316"/>
      <c r="S6" s="316"/>
      <c r="T6" s="316"/>
      <c r="U6" s="316"/>
      <c r="V6" s="24"/>
      <c r="W6" s="24"/>
      <c r="X6" s="24"/>
      <c r="Y6" s="24"/>
      <c r="Z6" s="24"/>
    </row>
    <row r="7" spans="1:26" ht="15" customHeight="1" x14ac:dyDescent="0.2">
      <c r="A7" s="35"/>
      <c r="B7" s="233"/>
      <c r="C7" s="233"/>
      <c r="D7" s="233"/>
      <c r="E7" s="233"/>
      <c r="F7" s="233"/>
      <c r="G7" s="233"/>
      <c r="H7" s="233"/>
      <c r="I7" s="233"/>
      <c r="J7" s="233"/>
      <c r="K7" s="233"/>
      <c r="L7" s="233"/>
      <c r="M7" s="33"/>
      <c r="N7" s="24"/>
      <c r="O7" s="68"/>
      <c r="P7" s="317" t="s">
        <v>165</v>
      </c>
      <c r="Q7" s="318"/>
      <c r="R7" s="318"/>
      <c r="S7" s="318"/>
      <c r="T7" s="318"/>
      <c r="U7" s="318"/>
      <c r="V7" s="24"/>
      <c r="W7" s="24"/>
      <c r="X7" s="24"/>
      <c r="Y7" s="24"/>
      <c r="Z7" s="24"/>
    </row>
    <row r="8" spans="1:26" ht="15" customHeight="1" x14ac:dyDescent="0.25">
      <c r="A8" s="35"/>
      <c r="B8" s="232"/>
      <c r="C8" s="232"/>
      <c r="D8" s="234" t="s">
        <v>29</v>
      </c>
      <c r="E8" s="235">
        <f>+'Site Ground Motions'!C33</f>
        <v>0.4</v>
      </c>
      <c r="F8" s="232"/>
      <c r="G8" s="234" t="s">
        <v>30</v>
      </c>
      <c r="H8" s="236">
        <f>IF(E8 &lt; 0.5, 1, IF(E8 &gt; 2.5, 2, 0.5 * E8 + 0.75))</f>
        <v>1</v>
      </c>
      <c r="I8" s="232" t="s">
        <v>191</v>
      </c>
      <c r="J8" s="232"/>
      <c r="K8" s="232"/>
      <c r="L8" s="232"/>
      <c r="M8" s="77"/>
      <c r="N8" s="24"/>
      <c r="O8" s="38">
        <v>888</v>
      </c>
      <c r="P8" s="319" t="s">
        <v>166</v>
      </c>
      <c r="Q8" s="320"/>
      <c r="R8" s="320"/>
      <c r="S8" s="320"/>
      <c r="T8" s="320"/>
      <c r="U8" s="320"/>
      <c r="V8" s="24"/>
      <c r="W8" s="24"/>
      <c r="X8" s="24"/>
      <c r="Y8" s="24"/>
      <c r="Z8" s="24"/>
    </row>
    <row r="9" spans="1:26" ht="15" customHeight="1" x14ac:dyDescent="0.25">
      <c r="A9" s="35"/>
      <c r="B9" s="232"/>
      <c r="C9" s="232"/>
      <c r="D9" s="234" t="s">
        <v>35</v>
      </c>
      <c r="E9" s="309">
        <f>F18</f>
        <v>2100.8365000000003</v>
      </c>
      <c r="F9" s="232"/>
      <c r="G9" s="237"/>
      <c r="H9" s="304"/>
      <c r="I9" s="232"/>
      <c r="J9" s="232"/>
      <c r="K9" s="232"/>
      <c r="L9" s="232"/>
      <c r="M9" s="77"/>
      <c r="N9" s="24"/>
      <c r="O9" s="71">
        <v>1.05</v>
      </c>
      <c r="P9" s="320" t="s">
        <v>167</v>
      </c>
      <c r="Q9" s="320"/>
      <c r="R9" s="320"/>
      <c r="S9" s="320"/>
      <c r="T9" s="320"/>
      <c r="U9" s="320"/>
      <c r="V9" s="24"/>
      <c r="W9" s="24"/>
      <c r="X9" s="24"/>
      <c r="Y9" s="24"/>
      <c r="Z9" s="24"/>
    </row>
    <row r="10" spans="1:26" ht="15" customHeight="1" x14ac:dyDescent="0.2">
      <c r="A10" s="35"/>
      <c r="B10" s="232"/>
      <c r="C10" s="232"/>
      <c r="D10" s="238"/>
      <c r="E10" s="238"/>
      <c r="F10" s="232"/>
      <c r="G10" s="232"/>
      <c r="H10" s="238"/>
      <c r="I10" s="72"/>
      <c r="J10" s="78"/>
      <c r="K10" s="232"/>
      <c r="L10" s="232"/>
      <c r="M10" s="77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ht="15" customHeight="1" x14ac:dyDescent="0.2">
      <c r="A11" s="35"/>
      <c r="B11" s="232"/>
      <c r="C11" s="232"/>
      <c r="D11" s="234" t="s">
        <v>142</v>
      </c>
      <c r="E11" s="79">
        <v>4</v>
      </c>
      <c r="F11" s="232"/>
      <c r="G11" s="232"/>
      <c r="H11" s="234" t="s">
        <v>143</v>
      </c>
      <c r="I11" s="268">
        <f ca="1">'Equivalent Lateral Forces'!D32</f>
        <v>0.10418383589743591</v>
      </c>
      <c r="J11" s="239"/>
      <c r="K11" s="232"/>
      <c r="L11" s="232"/>
      <c r="M11" s="77"/>
      <c r="N11" s="24"/>
      <c r="O11" s="30" t="s">
        <v>192</v>
      </c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 spans="1:26" ht="15" customHeight="1" x14ac:dyDescent="0.2">
      <c r="A12" s="35"/>
      <c r="B12" s="232"/>
      <c r="C12" s="232"/>
      <c r="D12" s="234" t="s">
        <v>144</v>
      </c>
      <c r="E12" s="80">
        <v>0</v>
      </c>
      <c r="F12" s="232"/>
      <c r="G12" s="232"/>
      <c r="H12" s="81" t="s">
        <v>143</v>
      </c>
      <c r="I12" s="178">
        <f ca="1">I11 * E9</f>
        <v>218.87320516334364</v>
      </c>
      <c r="J12" s="240"/>
      <c r="K12" s="232"/>
      <c r="L12" s="232"/>
      <c r="M12" s="77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 spans="1:26" ht="15" customHeight="1" x14ac:dyDescent="0.2">
      <c r="A13" s="35"/>
      <c r="B13" s="232"/>
      <c r="C13" s="232"/>
      <c r="D13" s="234"/>
      <c r="E13" s="85"/>
      <c r="F13" s="232"/>
      <c r="G13" s="232"/>
      <c r="H13" s="81"/>
      <c r="I13" s="178"/>
      <c r="J13" s="240"/>
      <c r="K13" s="232"/>
      <c r="L13" s="232"/>
      <c r="M13" s="77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 spans="1:26" ht="15" customHeight="1" x14ac:dyDescent="0.2">
      <c r="A14" s="35"/>
      <c r="B14" s="232"/>
      <c r="C14" s="232"/>
      <c r="D14" s="232"/>
      <c r="E14" s="232"/>
      <c r="F14" s="232"/>
      <c r="G14" s="232"/>
      <c r="H14" s="232"/>
      <c r="I14" s="232"/>
      <c r="J14" s="232"/>
      <c r="K14" s="232"/>
      <c r="L14" s="232"/>
      <c r="M14" s="77"/>
      <c r="N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 spans="1:26" ht="15" customHeight="1" x14ac:dyDescent="0.2">
      <c r="A15" s="35"/>
      <c r="B15" s="232"/>
      <c r="C15" s="321" t="s">
        <v>154</v>
      </c>
      <c r="D15" s="321"/>
      <c r="E15" s="321"/>
      <c r="F15" s="321"/>
      <c r="G15" s="321"/>
      <c r="H15" s="321"/>
      <c r="I15" s="321"/>
      <c r="J15" s="321"/>
      <c r="K15" s="321"/>
      <c r="L15" s="321"/>
      <c r="M15" s="77"/>
      <c r="N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 spans="1:26" ht="15" customHeight="1" x14ac:dyDescent="0.2">
      <c r="A16" s="35"/>
      <c r="B16" s="232"/>
      <c r="C16" s="231"/>
      <c r="D16" s="231" t="s">
        <v>145</v>
      </c>
      <c r="E16" s="231"/>
      <c r="F16" s="231" t="s">
        <v>146</v>
      </c>
      <c r="G16" s="231"/>
      <c r="H16" s="231"/>
      <c r="I16" s="232"/>
      <c r="J16" s="232"/>
      <c r="K16" s="232"/>
      <c r="L16" s="232"/>
      <c r="M16" s="77"/>
      <c r="N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26" ht="15" customHeight="1" x14ac:dyDescent="0.25">
      <c r="A17" s="35"/>
      <c r="B17" s="232"/>
      <c r="C17" s="78"/>
      <c r="D17" s="78" t="s">
        <v>24</v>
      </c>
      <c r="E17" s="78"/>
      <c r="F17" s="228" t="s">
        <v>187</v>
      </c>
      <c r="G17" s="228" t="s">
        <v>188</v>
      </c>
      <c r="H17" s="228" t="s">
        <v>189</v>
      </c>
      <c r="I17" s="228" t="s">
        <v>190</v>
      </c>
      <c r="J17" s="78"/>
      <c r="K17" s="322"/>
      <c r="L17" s="322"/>
      <c r="M17" s="77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 spans="1:26" ht="15" customHeight="1" x14ac:dyDescent="0.2">
      <c r="A18" s="35"/>
      <c r="B18" s="232"/>
      <c r="C18" s="232"/>
      <c r="D18" s="229">
        <f>SUM(D25:D36)</f>
        <v>42.5</v>
      </c>
      <c r="E18" s="232"/>
      <c r="F18" s="181">
        <f>SUM(F24:F36)</f>
        <v>2100.8365000000003</v>
      </c>
      <c r="G18" s="181">
        <f>SUM(G24:G36)</f>
        <v>54984.912500000006</v>
      </c>
      <c r="H18" s="257">
        <f>SUM(H24:H36)</f>
        <v>0.99999999999999989</v>
      </c>
      <c r="I18" s="178">
        <f ca="1">SUM(I24:I36)</f>
        <v>218.87320516334364</v>
      </c>
      <c r="J18" s="232"/>
      <c r="K18" s="232"/>
      <c r="L18" s="232"/>
      <c r="M18" s="77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 spans="1:26" ht="15" customHeight="1" x14ac:dyDescent="0.2">
      <c r="A19" s="35"/>
      <c r="B19" s="232"/>
      <c r="C19" s="232"/>
      <c r="D19" s="232"/>
      <c r="E19" s="232"/>
      <c r="F19" s="232"/>
      <c r="G19" s="232"/>
      <c r="H19" s="232"/>
      <c r="I19" s="232"/>
      <c r="J19" s="232"/>
      <c r="K19" s="232"/>
      <c r="L19" s="232"/>
      <c r="M19" s="77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 spans="1:26" ht="15" customHeight="1" x14ac:dyDescent="0.2">
      <c r="A20" s="35"/>
      <c r="B20" s="232"/>
      <c r="C20" s="232"/>
      <c r="D20" s="232"/>
      <c r="E20" s="234" t="s">
        <v>147</v>
      </c>
      <c r="F20" s="229">
        <f ca="1">MAX(K25:K32) / I12</f>
        <v>31.031679808529297</v>
      </c>
      <c r="G20" s="311" t="s">
        <v>148</v>
      </c>
      <c r="H20" s="311"/>
      <c r="I20" s="258">
        <f ca="1">F20 / D18</f>
        <v>0.7301571719653952</v>
      </c>
      <c r="J20" s="311" t="s">
        <v>149</v>
      </c>
      <c r="K20" s="311"/>
      <c r="L20" s="232"/>
      <c r="M20" s="77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 spans="1:26" ht="15" customHeight="1" x14ac:dyDescent="0.2">
      <c r="A21" s="35"/>
      <c r="B21" s="232"/>
      <c r="C21" s="232"/>
      <c r="D21" s="232"/>
      <c r="E21" s="232"/>
      <c r="F21" s="232"/>
      <c r="G21" s="232"/>
      <c r="H21" s="232"/>
      <c r="I21" s="232"/>
      <c r="J21" s="232"/>
      <c r="K21" s="232"/>
      <c r="L21" s="232"/>
      <c r="M21" s="77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 spans="1:26" ht="15" customHeight="1" x14ac:dyDescent="0.2">
      <c r="A22" s="35"/>
      <c r="B22" s="232"/>
      <c r="C22" s="231"/>
      <c r="D22" s="231" t="s">
        <v>27</v>
      </c>
      <c r="E22" s="231" t="s">
        <v>25</v>
      </c>
      <c r="F22" s="231" t="s">
        <v>28</v>
      </c>
      <c r="G22" s="231"/>
      <c r="H22" s="231"/>
      <c r="I22" s="232"/>
      <c r="J22" s="232"/>
      <c r="K22" s="232"/>
      <c r="L22" s="232"/>
      <c r="M22" s="77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 spans="1:26" ht="15" customHeight="1" x14ac:dyDescent="0.3">
      <c r="A23" s="35"/>
      <c r="B23" s="232"/>
      <c r="C23" s="78" t="s">
        <v>23</v>
      </c>
      <c r="D23" s="78" t="s">
        <v>24</v>
      </c>
      <c r="E23" s="78" t="s">
        <v>168</v>
      </c>
      <c r="F23" s="78" t="s">
        <v>26</v>
      </c>
      <c r="G23" s="78" t="s">
        <v>169</v>
      </c>
      <c r="H23" s="78" t="s">
        <v>170</v>
      </c>
      <c r="I23" s="82" t="s">
        <v>171</v>
      </c>
      <c r="J23" s="78" t="s">
        <v>172</v>
      </c>
      <c r="K23" s="322" t="s">
        <v>32</v>
      </c>
      <c r="L23" s="322"/>
      <c r="M23" s="77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 spans="1:26" ht="15" customHeight="1" x14ac:dyDescent="0.2">
      <c r="A24" s="35"/>
      <c r="B24" s="232"/>
      <c r="C24" s="231" t="s">
        <v>150</v>
      </c>
      <c r="D24" s="83" t="s">
        <v>151</v>
      </c>
      <c r="E24" s="229">
        <f>SUM(D25:D36)+E12</f>
        <v>42.5</v>
      </c>
      <c r="F24" s="193">
        <v>430.46499999999997</v>
      </c>
      <c r="G24" s="181">
        <f>F24 * (E24-E$12)^$H$8</f>
        <v>18294.762500000001</v>
      </c>
      <c r="H24" s="230">
        <f>G24 / $G$18</f>
        <v>0.3327233175100533</v>
      </c>
      <c r="I24" s="306">
        <f ca="1">H24 * $I$12</f>
        <v>72.824218936006218</v>
      </c>
      <c r="J24" s="83" t="s">
        <v>151</v>
      </c>
      <c r="K24" s="326" t="s">
        <v>151</v>
      </c>
      <c r="L24" s="326"/>
      <c r="M24" s="77"/>
      <c r="N24" s="24"/>
      <c r="O24" s="225"/>
      <c r="P24" s="323" t="s">
        <v>212</v>
      </c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 spans="1:26" ht="15" customHeight="1" x14ac:dyDescent="0.2">
      <c r="A25" s="35"/>
      <c r="B25" s="232"/>
      <c r="C25" s="260">
        <f>E11</f>
        <v>4</v>
      </c>
      <c r="D25" s="85">
        <v>10</v>
      </c>
      <c r="E25" s="229">
        <f t="shared" ref="E25:E27" si="0">IF(C25&lt;&gt;"",E24-D25,"")</f>
        <v>32.5</v>
      </c>
      <c r="F25" s="84">
        <v>554.33450000000005</v>
      </c>
      <c r="G25" s="181">
        <f t="shared" ref="G25:G27" si="1">IF(C25="","",IF(C25="Ground","—",F25 * (E25-E$12)^$H$8))</f>
        <v>18015.87125</v>
      </c>
      <c r="H25" s="230">
        <f>IF(C25="","",IF(C25="Ground","—",G25 / $G$18))</f>
        <v>0.32765117612945183</v>
      </c>
      <c r="I25" s="306">
        <f ca="1">IF(C25="","",IF(C25="Ground","—",H25 * $I$12))</f>
        <v>71.714063094992355</v>
      </c>
      <c r="J25" s="307">
        <f ca="1">IF(C25="","",IF(C25="Ground","—",I24))</f>
        <v>72.824218936006218</v>
      </c>
      <c r="K25" s="314">
        <f ca="1">IF(C25="","",J25 * D25)</f>
        <v>728.24218936006218</v>
      </c>
      <c r="L25" s="314"/>
      <c r="M25" s="194"/>
      <c r="N25" s="24"/>
      <c r="O25" s="226" t="s">
        <v>186</v>
      </c>
      <c r="P25" s="3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 spans="1:26" ht="15" customHeight="1" x14ac:dyDescent="0.2">
      <c r="A26" s="35"/>
      <c r="B26" s="232"/>
      <c r="C26" s="231">
        <f t="shared" ref="C26:C27" si="2">IF(E$11-O26&gt;1,E$11-O26,IF(E$11-O26=1,"Ground",""))</f>
        <v>3</v>
      </c>
      <c r="D26" s="85">
        <v>10.5</v>
      </c>
      <c r="E26" s="229">
        <f t="shared" si="0"/>
        <v>22</v>
      </c>
      <c r="F26" s="84">
        <v>556.17650000000003</v>
      </c>
      <c r="G26" s="181">
        <f t="shared" si="1"/>
        <v>12235.883000000002</v>
      </c>
      <c r="H26" s="230">
        <f>IF(C26="","",IF(C26="Ground","—",G26 / $G$18))</f>
        <v>0.22253164447610971</v>
      </c>
      <c r="I26" s="306">
        <f t="shared" ref="I26:I27" ca="1" si="3">IF(C26="","",IF(C26="Ground","—",H26 * $I$12))</f>
        <v>48.706214276755809</v>
      </c>
      <c r="J26" s="307">
        <f t="shared" ref="J26:J27" ca="1" si="4">IF(C26="","",I25+J25)</f>
        <v>144.53828203099857</v>
      </c>
      <c r="K26" s="314">
        <f t="shared" ref="K26:K27" ca="1" si="5">IF(C26="","",J26 * D26+K25)</f>
        <v>2245.8941506855472</v>
      </c>
      <c r="L26" s="314"/>
      <c r="M26" s="194"/>
      <c r="N26" s="24"/>
      <c r="O26" s="226">
        <v>1</v>
      </c>
      <c r="P26" s="3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 spans="1:26" ht="15" customHeight="1" x14ac:dyDescent="0.2">
      <c r="A27" s="35"/>
      <c r="B27" s="232"/>
      <c r="C27" s="231">
        <f t="shared" si="2"/>
        <v>2</v>
      </c>
      <c r="D27" s="85">
        <v>10.5</v>
      </c>
      <c r="E27" s="229">
        <f t="shared" si="0"/>
        <v>11.5</v>
      </c>
      <c r="F27" s="84">
        <v>559.8605</v>
      </c>
      <c r="G27" s="181">
        <f t="shared" si="1"/>
        <v>6438.3957499999997</v>
      </c>
      <c r="H27" s="230">
        <f>IF(C27="","",IF(C27="Ground","—",G27 / $G$18))</f>
        <v>0.11709386188438509</v>
      </c>
      <c r="I27" s="306">
        <f t="shared" ca="1" si="3"/>
        <v>25.628708855589242</v>
      </c>
      <c r="J27" s="307">
        <f t="shared" ca="1" si="4"/>
        <v>193.24449630775439</v>
      </c>
      <c r="K27" s="314">
        <f t="shared" ca="1" si="5"/>
        <v>4274.9613619169686</v>
      </c>
      <c r="L27" s="314"/>
      <c r="M27" s="77"/>
      <c r="N27" s="24"/>
      <c r="O27" s="226">
        <v>2</v>
      </c>
      <c r="P27" s="3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 spans="1:26" ht="15" customHeight="1" x14ac:dyDescent="0.2">
      <c r="A28" s="35"/>
      <c r="B28" s="232"/>
      <c r="C28" s="231" t="str">
        <f t="shared" ref="C28:C36" si="6">IF(E$11-O28&gt;1,E$11-O28,IF(E$11-O28=1,"Ground",""))</f>
        <v>Ground</v>
      </c>
      <c r="D28" s="85">
        <v>11.5</v>
      </c>
      <c r="E28" s="229">
        <f t="shared" ref="E28:E36" si="7">IF(C28&lt;&gt;"",E27-D28,"")</f>
        <v>0</v>
      </c>
      <c r="F28" s="308"/>
      <c r="G28" s="259" t="str">
        <f t="shared" ref="G28:G36" si="8">IF(C28="","",IF(C28="Ground","—",F28 * (E28-E$12)^$H$8))</f>
        <v>—</v>
      </c>
      <c r="H28" s="230" t="str">
        <f t="shared" ref="H28:H36" si="9">IF(C28="","",IF(C28="Ground","—",G28 / $G$18))</f>
        <v>—</v>
      </c>
      <c r="I28" s="178" t="str">
        <f t="shared" ref="I28:I36" si="10">IF(C28="","",IF(C28="Ground","—",H28 * $I$12))</f>
        <v>—</v>
      </c>
      <c r="J28" s="307">
        <f t="shared" ref="J28:J36" ca="1" si="11">IF(C28="","",I27+J27)</f>
        <v>218.87320516334364</v>
      </c>
      <c r="K28" s="314">
        <f t="shared" ref="K28:K36" ca="1" si="12">IF(C28="","",J28 * D28+K27)</f>
        <v>6792.0032212954211</v>
      </c>
      <c r="L28" s="314"/>
      <c r="M28" s="77"/>
      <c r="N28" s="24"/>
      <c r="O28" s="226">
        <v>3</v>
      </c>
      <c r="P28" s="3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 spans="1:26" ht="15" customHeight="1" x14ac:dyDescent="0.2">
      <c r="A29" s="35"/>
      <c r="B29" s="232"/>
      <c r="C29" s="231" t="str">
        <f t="shared" si="6"/>
        <v/>
      </c>
      <c r="D29" s="85"/>
      <c r="E29" s="229" t="str">
        <f t="shared" si="7"/>
        <v/>
      </c>
      <c r="F29" s="84"/>
      <c r="G29" s="259" t="str">
        <f t="shared" si="8"/>
        <v/>
      </c>
      <c r="H29" s="230" t="str">
        <f t="shared" si="9"/>
        <v/>
      </c>
      <c r="I29" s="178" t="str">
        <f t="shared" si="10"/>
        <v/>
      </c>
      <c r="J29" s="181" t="str">
        <f t="shared" si="11"/>
        <v/>
      </c>
      <c r="K29" s="314" t="str">
        <f t="shared" si="12"/>
        <v/>
      </c>
      <c r="L29" s="314"/>
      <c r="M29" s="77"/>
      <c r="N29" s="24"/>
      <c r="O29" s="226">
        <v>4</v>
      </c>
      <c r="P29" s="3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 spans="1:26" ht="15" customHeight="1" x14ac:dyDescent="0.2">
      <c r="A30" s="35"/>
      <c r="B30" s="232"/>
      <c r="C30" s="231" t="str">
        <f t="shared" si="6"/>
        <v/>
      </c>
      <c r="D30" s="85"/>
      <c r="E30" s="229" t="str">
        <f t="shared" si="7"/>
        <v/>
      </c>
      <c r="F30" s="84"/>
      <c r="G30" s="259" t="str">
        <f t="shared" si="8"/>
        <v/>
      </c>
      <c r="H30" s="230" t="str">
        <f t="shared" si="9"/>
        <v/>
      </c>
      <c r="I30" s="178" t="str">
        <f t="shared" si="10"/>
        <v/>
      </c>
      <c r="J30" s="181" t="str">
        <f t="shared" si="11"/>
        <v/>
      </c>
      <c r="K30" s="314" t="str">
        <f t="shared" si="12"/>
        <v/>
      </c>
      <c r="L30" s="314"/>
      <c r="M30" s="77"/>
      <c r="N30" s="24"/>
      <c r="O30" s="226">
        <v>5</v>
      </c>
      <c r="P30" s="3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 spans="1:26" ht="15" customHeight="1" x14ac:dyDescent="0.2">
      <c r="A31" s="35"/>
      <c r="B31" s="232"/>
      <c r="C31" s="231" t="str">
        <f t="shared" si="6"/>
        <v/>
      </c>
      <c r="D31" s="85"/>
      <c r="E31" s="229" t="str">
        <f t="shared" si="7"/>
        <v/>
      </c>
      <c r="F31" s="86"/>
      <c r="G31" s="259" t="str">
        <f t="shared" si="8"/>
        <v/>
      </c>
      <c r="H31" s="230" t="str">
        <f t="shared" si="9"/>
        <v/>
      </c>
      <c r="I31" s="178" t="str">
        <f t="shared" si="10"/>
        <v/>
      </c>
      <c r="J31" s="181" t="str">
        <f t="shared" si="11"/>
        <v/>
      </c>
      <c r="K31" s="314" t="str">
        <f t="shared" si="12"/>
        <v/>
      </c>
      <c r="L31" s="314"/>
      <c r="M31" s="77"/>
      <c r="N31" s="24"/>
      <c r="O31" s="226">
        <v>6</v>
      </c>
      <c r="P31" s="3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 spans="1:26" ht="15" customHeight="1" x14ac:dyDescent="0.2">
      <c r="A32" s="35"/>
      <c r="B32" s="232"/>
      <c r="C32" s="231" t="str">
        <f t="shared" si="6"/>
        <v/>
      </c>
      <c r="D32" s="261"/>
      <c r="E32" s="229" t="str">
        <f t="shared" si="7"/>
        <v/>
      </c>
      <c r="F32" s="87"/>
      <c r="G32" s="259" t="str">
        <f t="shared" si="8"/>
        <v/>
      </c>
      <c r="H32" s="230" t="str">
        <f t="shared" si="9"/>
        <v/>
      </c>
      <c r="I32" s="178" t="str">
        <f t="shared" si="10"/>
        <v/>
      </c>
      <c r="J32" s="181" t="str">
        <f t="shared" si="11"/>
        <v/>
      </c>
      <c r="K32" s="314" t="str">
        <f t="shared" si="12"/>
        <v/>
      </c>
      <c r="L32" s="314"/>
      <c r="M32" s="77"/>
      <c r="N32" s="24"/>
      <c r="O32" s="226">
        <v>7</v>
      </c>
      <c r="P32" s="3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 spans="1:26" ht="15" customHeight="1" x14ac:dyDescent="0.2">
      <c r="A33" s="35"/>
      <c r="B33" s="232"/>
      <c r="C33" s="231" t="str">
        <f t="shared" si="6"/>
        <v/>
      </c>
      <c r="D33" s="261"/>
      <c r="E33" s="229" t="str">
        <f t="shared" si="7"/>
        <v/>
      </c>
      <c r="F33" s="87"/>
      <c r="G33" s="259" t="str">
        <f t="shared" si="8"/>
        <v/>
      </c>
      <c r="H33" s="230" t="str">
        <f t="shared" si="9"/>
        <v/>
      </c>
      <c r="I33" s="178" t="str">
        <f t="shared" si="10"/>
        <v/>
      </c>
      <c r="J33" s="181" t="str">
        <f t="shared" si="11"/>
        <v/>
      </c>
      <c r="K33" s="314" t="str">
        <f t="shared" si="12"/>
        <v/>
      </c>
      <c r="L33" s="314"/>
      <c r="M33" s="77"/>
      <c r="N33" s="24"/>
      <c r="O33" s="226">
        <v>8</v>
      </c>
      <c r="P33" s="3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 spans="1:26" ht="15" customHeight="1" x14ac:dyDescent="0.2">
      <c r="A34" s="35"/>
      <c r="B34" s="232"/>
      <c r="C34" s="231" t="str">
        <f t="shared" si="6"/>
        <v/>
      </c>
      <c r="D34" s="261"/>
      <c r="E34" s="229" t="str">
        <f t="shared" si="7"/>
        <v/>
      </c>
      <c r="F34" s="87"/>
      <c r="G34" s="259" t="str">
        <f t="shared" si="8"/>
        <v/>
      </c>
      <c r="H34" s="230" t="str">
        <f t="shared" si="9"/>
        <v/>
      </c>
      <c r="I34" s="178" t="str">
        <f t="shared" si="10"/>
        <v/>
      </c>
      <c r="J34" s="181" t="str">
        <f t="shared" si="11"/>
        <v/>
      </c>
      <c r="K34" s="314" t="str">
        <f t="shared" si="12"/>
        <v/>
      </c>
      <c r="L34" s="314"/>
      <c r="M34" s="77"/>
      <c r="N34" s="24"/>
      <c r="O34" s="226">
        <v>9</v>
      </c>
      <c r="P34" s="3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 spans="1:26" ht="15" customHeight="1" x14ac:dyDescent="0.2">
      <c r="A35" s="35"/>
      <c r="B35" s="232"/>
      <c r="C35" s="231" t="str">
        <f t="shared" si="6"/>
        <v/>
      </c>
      <c r="D35" s="261"/>
      <c r="E35" s="229" t="str">
        <f t="shared" si="7"/>
        <v/>
      </c>
      <c r="F35" s="87"/>
      <c r="G35" s="259" t="str">
        <f t="shared" si="8"/>
        <v/>
      </c>
      <c r="H35" s="230" t="str">
        <f t="shared" si="9"/>
        <v/>
      </c>
      <c r="I35" s="178" t="str">
        <f t="shared" si="10"/>
        <v/>
      </c>
      <c r="J35" s="181" t="str">
        <f t="shared" si="11"/>
        <v/>
      </c>
      <c r="K35" s="314" t="str">
        <f t="shared" si="12"/>
        <v/>
      </c>
      <c r="L35" s="314"/>
      <c r="M35" s="77"/>
      <c r="N35" s="24"/>
      <c r="O35" s="226">
        <v>10</v>
      </c>
      <c r="P35" s="3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 spans="1:26" ht="15" customHeight="1" x14ac:dyDescent="0.2">
      <c r="A36" s="35"/>
      <c r="B36" s="232"/>
      <c r="C36" s="78" t="str">
        <f t="shared" si="6"/>
        <v/>
      </c>
      <c r="D36" s="262"/>
      <c r="E36" s="263" t="str">
        <f t="shared" si="7"/>
        <v/>
      </c>
      <c r="F36" s="264"/>
      <c r="G36" s="265" t="str">
        <f t="shared" si="8"/>
        <v/>
      </c>
      <c r="H36" s="266" t="str">
        <f t="shared" si="9"/>
        <v/>
      </c>
      <c r="I36" s="267" t="str">
        <f t="shared" si="10"/>
        <v/>
      </c>
      <c r="J36" s="252" t="str">
        <f t="shared" si="11"/>
        <v/>
      </c>
      <c r="K36" s="315" t="str">
        <f t="shared" si="12"/>
        <v/>
      </c>
      <c r="L36" s="315"/>
      <c r="M36" s="77"/>
      <c r="N36" s="24"/>
      <c r="O36" s="227">
        <v>11</v>
      </c>
      <c r="P36" s="325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 spans="1:26" ht="15" customHeight="1" x14ac:dyDescent="0.2">
      <c r="A37" s="35"/>
      <c r="B37" s="232"/>
      <c r="C37" s="232"/>
      <c r="D37" s="232"/>
      <c r="E37" s="232"/>
      <c r="F37" s="242"/>
      <c r="G37" s="232"/>
      <c r="H37" s="232"/>
      <c r="I37" s="232"/>
      <c r="J37" s="232"/>
      <c r="K37" s="232"/>
      <c r="L37" s="232"/>
      <c r="M37" s="77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 spans="1:26" ht="15" customHeight="1" x14ac:dyDescent="0.2">
      <c r="A38" s="35"/>
      <c r="B38" s="232"/>
      <c r="C38" s="327" t="s">
        <v>195</v>
      </c>
      <c r="D38" s="327"/>
      <c r="E38" s="327"/>
      <c r="F38" s="327"/>
      <c r="G38" s="327"/>
      <c r="H38" s="327"/>
      <c r="I38" s="327"/>
      <c r="J38" s="327"/>
      <c r="K38" s="327"/>
      <c r="L38" s="327"/>
      <c r="M38" s="77"/>
      <c r="N38" s="24"/>
      <c r="O38" s="191" t="s">
        <v>194</v>
      </c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 spans="1:26" ht="15" customHeight="1" x14ac:dyDescent="0.2">
      <c r="A39" s="35"/>
      <c r="B39" s="232"/>
      <c r="C39" s="243"/>
      <c r="D39" s="243"/>
      <c r="E39" s="243"/>
      <c r="F39" s="243"/>
      <c r="G39" s="243"/>
      <c r="H39" s="243"/>
      <c r="I39" s="243"/>
      <c r="J39" s="243"/>
      <c r="K39" s="243"/>
      <c r="L39" s="243"/>
      <c r="M39" s="77"/>
      <c r="N39" s="24"/>
      <c r="O39" s="30" t="s">
        <v>193</v>
      </c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 spans="1:26" ht="15" customHeight="1" x14ac:dyDescent="0.2">
      <c r="A40" s="35"/>
      <c r="B40" s="232"/>
      <c r="C40" s="272"/>
      <c r="D40" s="328" t="s">
        <v>174</v>
      </c>
      <c r="E40" s="329"/>
      <c r="F40" s="272"/>
      <c r="G40" s="272"/>
      <c r="H40" s="272"/>
      <c r="I40" s="328" t="s">
        <v>174</v>
      </c>
      <c r="J40" s="329"/>
      <c r="K40" s="272"/>
      <c r="L40" s="272"/>
      <c r="M40" s="287"/>
      <c r="N40" s="24"/>
      <c r="O40" s="30" t="s">
        <v>197</v>
      </c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 spans="1:26" ht="15" customHeight="1" x14ac:dyDescent="0.2">
      <c r="A41" s="35"/>
      <c r="B41" s="232"/>
      <c r="C41" s="273"/>
      <c r="D41" s="330" t="s">
        <v>200</v>
      </c>
      <c r="E41" s="330"/>
      <c r="F41" s="273" t="s">
        <v>196</v>
      </c>
      <c r="G41" s="273"/>
      <c r="H41" s="244"/>
      <c r="I41" s="330" t="s">
        <v>201</v>
      </c>
      <c r="J41" s="330"/>
      <c r="K41" s="244" t="s">
        <v>196</v>
      </c>
      <c r="L41" s="244"/>
      <c r="M41" s="287"/>
      <c r="N41" s="24"/>
      <c r="O41" s="30" t="s">
        <v>198</v>
      </c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 spans="1:26" ht="15" customHeight="1" x14ac:dyDescent="0.2">
      <c r="A42" s="35"/>
      <c r="B42" s="232"/>
      <c r="C42" s="269" t="s">
        <v>23</v>
      </c>
      <c r="D42" s="274" t="s">
        <v>162</v>
      </c>
      <c r="E42" s="275" t="s">
        <v>163</v>
      </c>
      <c r="F42" s="269" t="s">
        <v>26</v>
      </c>
      <c r="G42" s="269" t="s">
        <v>199</v>
      </c>
      <c r="H42" s="269"/>
      <c r="I42" s="269" t="s">
        <v>203</v>
      </c>
      <c r="J42" s="269" t="s">
        <v>202</v>
      </c>
      <c r="K42" s="269" t="s">
        <v>31</v>
      </c>
      <c r="L42" s="269" t="s">
        <v>204</v>
      </c>
      <c r="M42" s="270" t="s">
        <v>205</v>
      </c>
      <c r="N42" s="24"/>
      <c r="O42" s="30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 spans="1:26" ht="15" customHeight="1" x14ac:dyDescent="0.2">
      <c r="A43" s="35"/>
      <c r="B43" s="232"/>
      <c r="C43" s="244" t="s">
        <v>150</v>
      </c>
      <c r="D43" s="276"/>
      <c r="E43" s="277" t="str">
        <f>IF(ISNUMBER(D43),D43*32.2/1000,"")</f>
        <v/>
      </c>
      <c r="F43" s="278">
        <f>IF(ISNUMBER(F24),F24,"")</f>
        <v>430.46499999999997</v>
      </c>
      <c r="G43" s="279" t="e">
        <f>IF(ISNUMBER(F43),E43/F43-1,"")</f>
        <v>#VALUE!</v>
      </c>
      <c r="H43" s="280"/>
      <c r="I43" s="276"/>
      <c r="J43" s="276"/>
      <c r="K43" s="278">
        <f ca="1">I24</f>
        <v>72.824218936006218</v>
      </c>
      <c r="L43" s="279">
        <f t="shared" ref="L43" ca="1" si="13">IF(ISNUMBER(K43),I43/K43-1,"")</f>
        <v>-1</v>
      </c>
      <c r="M43" s="288">
        <f ca="1">IF(ISNUMBER(K43),J43/K43-1,"")</f>
        <v>-1</v>
      </c>
      <c r="N43" s="24"/>
      <c r="O43" s="225"/>
      <c r="P43" s="323" t="s">
        <v>213</v>
      </c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 spans="1:26" ht="15" customHeight="1" x14ac:dyDescent="0.2">
      <c r="A44" s="35"/>
      <c r="B44" s="232"/>
      <c r="C44" s="277">
        <f>E11</f>
        <v>4</v>
      </c>
      <c r="D44" s="281"/>
      <c r="E44" s="277" t="str">
        <f t="shared" ref="E44:E55" si="14">IF(ISNUMBER(D44),D44*32.2/1000,"")</f>
        <v/>
      </c>
      <c r="F44" s="278">
        <f t="shared" ref="F44:F55" si="15">IF(ISNUMBER(F25),F25,"")</f>
        <v>554.33450000000005</v>
      </c>
      <c r="G44" s="279" t="e">
        <f t="shared" ref="G44:G55" si="16">IF(ISNUMBER(F44),E44/F44-1,"")</f>
        <v>#VALUE!</v>
      </c>
      <c r="H44" s="280"/>
      <c r="I44" s="281"/>
      <c r="J44" s="281"/>
      <c r="K44" s="278">
        <f t="shared" ref="K44:K55" ca="1" si="17">I25</f>
        <v>71.714063094992355</v>
      </c>
      <c r="L44" s="279">
        <f t="shared" ref="L44:L55" ca="1" si="18">IF(ISNUMBER(K44),I44/K44-1,"")</f>
        <v>-1</v>
      </c>
      <c r="M44" s="288">
        <f t="shared" ref="M44:M55" ca="1" si="19">IF(ISNUMBER(K44),J44/K44-1,"")</f>
        <v>-1</v>
      </c>
      <c r="N44" s="24"/>
      <c r="O44" s="226" t="s">
        <v>186</v>
      </c>
      <c r="P44" s="3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 spans="1:26" ht="15" customHeight="1" x14ac:dyDescent="0.2">
      <c r="A45" s="35"/>
      <c r="B45" s="232"/>
      <c r="C45" s="244">
        <f t="shared" ref="C45:C50" si="20">IF(E$11-O45&gt;1,E$11-O45,IF(E$11-O45=1,"Ground",""))</f>
        <v>3</v>
      </c>
      <c r="D45" s="281"/>
      <c r="E45" s="277" t="str">
        <f t="shared" si="14"/>
        <v/>
      </c>
      <c r="F45" s="278">
        <f t="shared" si="15"/>
        <v>556.17650000000003</v>
      </c>
      <c r="G45" s="279" t="e">
        <f t="shared" si="16"/>
        <v>#VALUE!</v>
      </c>
      <c r="H45" s="280"/>
      <c r="I45" s="281"/>
      <c r="J45" s="281"/>
      <c r="K45" s="278">
        <f t="shared" ca="1" si="17"/>
        <v>48.706214276755809</v>
      </c>
      <c r="L45" s="279">
        <f t="shared" ca="1" si="18"/>
        <v>-1</v>
      </c>
      <c r="M45" s="288">
        <f t="shared" ca="1" si="19"/>
        <v>-1</v>
      </c>
      <c r="N45" s="24"/>
      <c r="O45" s="226">
        <v>1</v>
      </c>
      <c r="P45" s="3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 spans="1:26" ht="15" customHeight="1" x14ac:dyDescent="0.2">
      <c r="A46" s="35"/>
      <c r="B46" s="232"/>
      <c r="C46" s="244">
        <f t="shared" si="20"/>
        <v>2</v>
      </c>
      <c r="D46" s="281"/>
      <c r="E46" s="277" t="str">
        <f t="shared" si="14"/>
        <v/>
      </c>
      <c r="F46" s="278">
        <f t="shared" si="15"/>
        <v>559.8605</v>
      </c>
      <c r="G46" s="279" t="e">
        <f t="shared" si="16"/>
        <v>#VALUE!</v>
      </c>
      <c r="H46" s="280"/>
      <c r="I46" s="281"/>
      <c r="J46" s="281"/>
      <c r="K46" s="278">
        <f t="shared" ca="1" si="17"/>
        <v>25.628708855589242</v>
      </c>
      <c r="L46" s="279">
        <f t="shared" ca="1" si="18"/>
        <v>-1</v>
      </c>
      <c r="M46" s="288">
        <f t="shared" ca="1" si="19"/>
        <v>-1</v>
      </c>
      <c r="N46" s="24"/>
      <c r="O46" s="226">
        <v>2</v>
      </c>
      <c r="P46" s="3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 spans="1:26" ht="15" customHeight="1" x14ac:dyDescent="0.2">
      <c r="A47" s="35"/>
      <c r="B47" s="232"/>
      <c r="C47" s="244" t="str">
        <f t="shared" si="20"/>
        <v>Ground</v>
      </c>
      <c r="D47" s="281"/>
      <c r="E47" s="277" t="str">
        <f t="shared" si="14"/>
        <v/>
      </c>
      <c r="F47" s="278" t="str">
        <f t="shared" si="15"/>
        <v/>
      </c>
      <c r="G47" s="279" t="str">
        <f t="shared" si="16"/>
        <v/>
      </c>
      <c r="H47" s="280"/>
      <c r="I47" s="281"/>
      <c r="J47" s="281"/>
      <c r="K47" s="278" t="str">
        <f t="shared" si="17"/>
        <v>—</v>
      </c>
      <c r="L47" s="279" t="str">
        <f t="shared" si="18"/>
        <v/>
      </c>
      <c r="M47" s="288" t="str">
        <f t="shared" si="19"/>
        <v/>
      </c>
      <c r="N47" s="24"/>
      <c r="O47" s="226">
        <v>3</v>
      </c>
      <c r="P47" s="3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 spans="1:26" ht="15" customHeight="1" x14ac:dyDescent="0.2">
      <c r="A48" s="35"/>
      <c r="B48" s="232"/>
      <c r="C48" s="244" t="str">
        <f t="shared" si="20"/>
        <v/>
      </c>
      <c r="D48" s="281"/>
      <c r="E48" s="277" t="str">
        <f t="shared" si="14"/>
        <v/>
      </c>
      <c r="F48" s="278" t="str">
        <f t="shared" si="15"/>
        <v/>
      </c>
      <c r="G48" s="279" t="str">
        <f t="shared" si="16"/>
        <v/>
      </c>
      <c r="H48" s="273"/>
      <c r="I48" s="281"/>
      <c r="J48" s="281"/>
      <c r="K48" s="278" t="str">
        <f t="shared" si="17"/>
        <v/>
      </c>
      <c r="L48" s="279" t="str">
        <f t="shared" si="18"/>
        <v/>
      </c>
      <c r="M48" s="288" t="str">
        <f t="shared" si="19"/>
        <v/>
      </c>
      <c r="N48" s="24"/>
      <c r="O48" s="226">
        <v>4</v>
      </c>
      <c r="P48" s="3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 spans="1:26" ht="15" customHeight="1" x14ac:dyDescent="0.2">
      <c r="A49" s="35"/>
      <c r="B49" s="232"/>
      <c r="C49" s="244" t="str">
        <f t="shared" si="20"/>
        <v/>
      </c>
      <c r="D49" s="281"/>
      <c r="E49" s="277" t="str">
        <f t="shared" si="14"/>
        <v/>
      </c>
      <c r="F49" s="278" t="str">
        <f t="shared" si="15"/>
        <v/>
      </c>
      <c r="G49" s="279" t="str">
        <f t="shared" si="16"/>
        <v/>
      </c>
      <c r="H49" s="273"/>
      <c r="I49" s="281"/>
      <c r="J49" s="281"/>
      <c r="K49" s="278" t="str">
        <f t="shared" si="17"/>
        <v/>
      </c>
      <c r="L49" s="279" t="str">
        <f t="shared" si="18"/>
        <v/>
      </c>
      <c r="M49" s="288" t="str">
        <f t="shared" si="19"/>
        <v/>
      </c>
      <c r="N49" s="24"/>
      <c r="O49" s="226">
        <v>5</v>
      </c>
      <c r="P49" s="3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 spans="1:26" ht="15" customHeight="1" x14ac:dyDescent="0.2">
      <c r="A50" s="35"/>
      <c r="B50" s="232"/>
      <c r="C50" s="244" t="str">
        <f t="shared" si="20"/>
        <v/>
      </c>
      <c r="D50" s="281"/>
      <c r="E50" s="277" t="str">
        <f t="shared" si="14"/>
        <v/>
      </c>
      <c r="F50" s="278" t="str">
        <f t="shared" si="15"/>
        <v/>
      </c>
      <c r="G50" s="279" t="str">
        <f t="shared" si="16"/>
        <v/>
      </c>
      <c r="H50" s="273"/>
      <c r="I50" s="281"/>
      <c r="J50" s="281"/>
      <c r="K50" s="278" t="str">
        <f t="shared" si="17"/>
        <v/>
      </c>
      <c r="L50" s="279" t="str">
        <f t="shared" si="18"/>
        <v/>
      </c>
      <c r="M50" s="288" t="str">
        <f t="shared" si="19"/>
        <v/>
      </c>
      <c r="N50" s="24"/>
      <c r="O50" s="226">
        <v>6</v>
      </c>
      <c r="P50" s="3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 spans="1:26" ht="15" customHeight="1" x14ac:dyDescent="0.2">
      <c r="A51" s="35"/>
      <c r="B51" s="232"/>
      <c r="C51" s="244" t="str">
        <f t="shared" ref="C51:C55" si="21">IF(E$11-O51&gt;1,E$11-O51,IF(E$11-O51=1,"Ground",""))</f>
        <v/>
      </c>
      <c r="D51" s="281"/>
      <c r="E51" s="277" t="str">
        <f t="shared" si="14"/>
        <v/>
      </c>
      <c r="F51" s="278" t="str">
        <f t="shared" si="15"/>
        <v/>
      </c>
      <c r="G51" s="279" t="str">
        <f t="shared" si="16"/>
        <v/>
      </c>
      <c r="H51" s="281"/>
      <c r="I51" s="281"/>
      <c r="J51" s="281"/>
      <c r="K51" s="278" t="str">
        <f t="shared" si="17"/>
        <v/>
      </c>
      <c r="L51" s="279" t="str">
        <f t="shared" si="18"/>
        <v/>
      </c>
      <c r="M51" s="288" t="str">
        <f t="shared" si="19"/>
        <v/>
      </c>
      <c r="N51" s="24"/>
      <c r="O51" s="226">
        <v>7</v>
      </c>
      <c r="P51" s="3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 spans="1:26" ht="15" customHeight="1" x14ac:dyDescent="0.2">
      <c r="A52" s="35"/>
      <c r="B52" s="232"/>
      <c r="C52" s="244" t="str">
        <f t="shared" si="21"/>
        <v/>
      </c>
      <c r="D52" s="281"/>
      <c r="E52" s="277" t="str">
        <f t="shared" si="14"/>
        <v/>
      </c>
      <c r="F52" s="278" t="str">
        <f t="shared" si="15"/>
        <v/>
      </c>
      <c r="G52" s="279" t="str">
        <f t="shared" si="16"/>
        <v/>
      </c>
      <c r="H52" s="281"/>
      <c r="I52" s="281"/>
      <c r="J52" s="281"/>
      <c r="K52" s="278" t="str">
        <f t="shared" si="17"/>
        <v/>
      </c>
      <c r="L52" s="279" t="str">
        <f t="shared" si="18"/>
        <v/>
      </c>
      <c r="M52" s="288" t="str">
        <f t="shared" si="19"/>
        <v/>
      </c>
      <c r="N52" s="24"/>
      <c r="O52" s="226">
        <v>8</v>
      </c>
      <c r="P52" s="3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 spans="1:26" ht="15" customHeight="1" x14ac:dyDescent="0.2">
      <c r="A53" s="35"/>
      <c r="B53" s="232"/>
      <c r="C53" s="244" t="str">
        <f t="shared" si="21"/>
        <v/>
      </c>
      <c r="D53" s="281"/>
      <c r="E53" s="277" t="str">
        <f t="shared" si="14"/>
        <v/>
      </c>
      <c r="F53" s="278" t="str">
        <f t="shared" si="15"/>
        <v/>
      </c>
      <c r="G53" s="279" t="str">
        <f t="shared" si="16"/>
        <v/>
      </c>
      <c r="H53" s="280"/>
      <c r="I53" s="281"/>
      <c r="J53" s="281"/>
      <c r="K53" s="278" t="str">
        <f t="shared" si="17"/>
        <v/>
      </c>
      <c r="L53" s="279" t="str">
        <f t="shared" si="18"/>
        <v/>
      </c>
      <c r="M53" s="288" t="str">
        <f t="shared" si="19"/>
        <v/>
      </c>
      <c r="N53" s="24"/>
      <c r="O53" s="226">
        <v>9</v>
      </c>
      <c r="P53" s="3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 spans="1:26" ht="15" customHeight="1" x14ac:dyDescent="0.2">
      <c r="A54" s="35"/>
      <c r="B54" s="232"/>
      <c r="C54" s="244" t="str">
        <f t="shared" si="21"/>
        <v/>
      </c>
      <c r="D54" s="281"/>
      <c r="E54" s="277" t="str">
        <f t="shared" si="14"/>
        <v/>
      </c>
      <c r="F54" s="278" t="str">
        <f t="shared" si="15"/>
        <v/>
      </c>
      <c r="G54" s="279" t="str">
        <f t="shared" si="16"/>
        <v/>
      </c>
      <c r="H54" s="280"/>
      <c r="I54" s="281"/>
      <c r="J54" s="281"/>
      <c r="K54" s="278" t="str">
        <f t="shared" si="17"/>
        <v/>
      </c>
      <c r="L54" s="279" t="str">
        <f t="shared" si="18"/>
        <v/>
      </c>
      <c r="M54" s="288" t="str">
        <f t="shared" si="19"/>
        <v/>
      </c>
      <c r="N54" s="24"/>
      <c r="O54" s="226">
        <v>10</v>
      </c>
      <c r="P54" s="3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 spans="1:26" ht="15" customHeight="1" x14ac:dyDescent="0.2">
      <c r="A55" s="35"/>
      <c r="B55" s="232"/>
      <c r="C55" s="269" t="str">
        <f t="shared" si="21"/>
        <v/>
      </c>
      <c r="D55" s="282"/>
      <c r="E55" s="283" t="str">
        <f t="shared" si="14"/>
        <v/>
      </c>
      <c r="F55" s="284" t="str">
        <f t="shared" si="15"/>
        <v/>
      </c>
      <c r="G55" s="285" t="str">
        <f t="shared" si="16"/>
        <v/>
      </c>
      <c r="H55" s="286"/>
      <c r="I55" s="282"/>
      <c r="J55" s="282"/>
      <c r="K55" s="284" t="str">
        <f t="shared" si="17"/>
        <v/>
      </c>
      <c r="L55" s="285" t="str">
        <f t="shared" si="18"/>
        <v/>
      </c>
      <c r="M55" s="288" t="str">
        <f t="shared" si="19"/>
        <v/>
      </c>
      <c r="N55" s="24"/>
      <c r="O55" s="227">
        <v>11</v>
      </c>
      <c r="P55" s="325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 spans="1:26" ht="15" customHeight="1" x14ac:dyDescent="0.2">
      <c r="A56" s="253"/>
      <c r="B56" s="232"/>
      <c r="C56" s="231"/>
      <c r="D56" s="85"/>
      <c r="E56" s="229"/>
      <c r="F56" s="181"/>
      <c r="G56" s="231"/>
      <c r="H56" s="230"/>
      <c r="I56" s="178"/>
      <c r="J56" s="181"/>
      <c r="K56" s="246"/>
      <c r="L56" s="241"/>
      <c r="M56" s="245"/>
      <c r="N56" s="24"/>
      <c r="O56" s="247"/>
      <c r="P56" s="248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 spans="1:26" ht="15" customHeight="1" x14ac:dyDescent="0.2">
      <c r="A57" s="253"/>
      <c r="B57" s="232"/>
      <c r="C57" s="311" t="s">
        <v>209</v>
      </c>
      <c r="D57" s="311"/>
      <c r="E57" s="311"/>
      <c r="F57" s="181" t="s">
        <v>207</v>
      </c>
      <c r="G57" s="231" t="s">
        <v>208</v>
      </c>
      <c r="H57" s="312" t="s">
        <v>210</v>
      </c>
      <c r="I57" s="312"/>
      <c r="J57" s="244" t="s">
        <v>204</v>
      </c>
      <c r="K57" s="244" t="s">
        <v>205</v>
      </c>
      <c r="L57" s="241"/>
      <c r="M57" s="245"/>
      <c r="N57" s="24"/>
      <c r="O57" s="249"/>
      <c r="P57" s="248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 spans="1:26" ht="15" customHeight="1" x14ac:dyDescent="0.2">
      <c r="A58" s="253"/>
      <c r="B58" s="232"/>
      <c r="C58" s="232"/>
      <c r="D58" s="232"/>
      <c r="E58" s="232"/>
      <c r="F58" s="255"/>
      <c r="G58" s="256"/>
      <c r="H58" s="313">
        <f ca="1">I12</f>
        <v>218.87320516334364</v>
      </c>
      <c r="I58" s="313"/>
      <c r="J58" s="299">
        <f ca="1">F58/H58-1</f>
        <v>-1</v>
      </c>
      <c r="K58" s="271">
        <f ca="1">G58/H58-1</f>
        <v>-1</v>
      </c>
      <c r="L58" s="232"/>
      <c r="M58" s="77"/>
      <c r="N58" s="24"/>
      <c r="O58" s="249" t="s">
        <v>206</v>
      </c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1:26" ht="15" customHeight="1" x14ac:dyDescent="0.2">
      <c r="A59" s="254"/>
      <c r="B59" s="250"/>
      <c r="C59" s="250"/>
      <c r="D59" s="250"/>
      <c r="E59" s="250"/>
      <c r="F59" s="252"/>
      <c r="G59" s="250"/>
      <c r="H59" s="250"/>
      <c r="I59" s="250"/>
      <c r="J59" s="250"/>
      <c r="K59" s="250"/>
      <c r="L59" s="250"/>
      <c r="M59" s="251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 spans="1:26" ht="15" customHeight="1" x14ac:dyDescent="0.2">
      <c r="A60" s="24"/>
      <c r="B60" s="30"/>
      <c r="C60" s="30"/>
      <c r="D60" s="30"/>
      <c r="E60" s="30"/>
      <c r="F60" s="190"/>
      <c r="G60" s="30"/>
      <c r="H60" s="30"/>
      <c r="I60" s="30"/>
      <c r="J60" s="30"/>
      <c r="K60" s="30"/>
      <c r="L60" s="30"/>
      <c r="M60" s="30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1:26" ht="15" customHeight="1" x14ac:dyDescent="0.2">
      <c r="A61" s="24"/>
      <c r="B61" s="30"/>
      <c r="C61" s="30"/>
      <c r="D61" s="30"/>
      <c r="E61" s="30"/>
      <c r="F61" s="190"/>
      <c r="G61" s="30"/>
      <c r="H61" s="30"/>
      <c r="I61" s="30"/>
      <c r="J61" s="30"/>
      <c r="K61" s="30"/>
      <c r="L61" s="30"/>
      <c r="M61" s="30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 spans="1:26" ht="15" customHeight="1" x14ac:dyDescent="0.2">
      <c r="A62" s="24"/>
      <c r="B62" s="30"/>
      <c r="C62" s="30"/>
      <c r="D62" s="30"/>
      <c r="E62" s="30"/>
      <c r="F62" s="190"/>
      <c r="G62" s="30"/>
      <c r="H62" s="30"/>
      <c r="I62" s="30"/>
      <c r="J62" s="30"/>
      <c r="K62" s="30"/>
      <c r="L62" s="30"/>
      <c r="M62" s="30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 spans="1:26" ht="15" customHeight="1" x14ac:dyDescent="0.2">
      <c r="A63" s="24"/>
      <c r="B63" s="30"/>
      <c r="C63" s="30"/>
      <c r="D63" s="30"/>
      <c r="E63" s="30"/>
      <c r="F63" s="190"/>
      <c r="G63" s="30"/>
      <c r="H63" s="30"/>
      <c r="I63" s="30"/>
      <c r="J63" s="30"/>
      <c r="K63" s="30"/>
      <c r="L63" s="30"/>
      <c r="M63" s="30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 spans="1:26" ht="15" customHeight="1" x14ac:dyDescent="0.2">
      <c r="A64" s="24"/>
      <c r="B64" s="30"/>
      <c r="C64" s="30"/>
      <c r="D64" s="30"/>
      <c r="E64" s="30"/>
      <c r="F64" s="190"/>
      <c r="G64" s="30"/>
      <c r="H64" s="30"/>
      <c r="I64" s="30"/>
      <c r="J64" s="30"/>
      <c r="K64" s="30"/>
      <c r="L64" s="30"/>
      <c r="M64" s="30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 spans="1:26" ht="15" customHeight="1" x14ac:dyDescent="0.2">
      <c r="A65" s="27"/>
      <c r="B65" s="191"/>
      <c r="C65" s="191"/>
      <c r="D65" s="191"/>
      <c r="E65" s="191"/>
      <c r="F65" s="191"/>
      <c r="G65" s="191"/>
      <c r="H65" s="191"/>
      <c r="I65" s="191"/>
      <c r="J65" s="191"/>
      <c r="K65" s="191"/>
      <c r="L65" s="191"/>
      <c r="M65" s="191"/>
      <c r="O65" s="24"/>
      <c r="P65" s="24"/>
      <c r="Q65" s="24"/>
      <c r="R65" s="24"/>
      <c r="S65" s="24"/>
      <c r="T65" s="24"/>
      <c r="U65" s="24"/>
    </row>
    <row r="66" spans="1:26" ht="15" customHeight="1" x14ac:dyDescent="0.2">
      <c r="A66" s="27"/>
      <c r="B66" s="191"/>
      <c r="C66" s="191"/>
      <c r="D66" s="191"/>
      <c r="E66" s="191"/>
      <c r="F66" s="191"/>
      <c r="G66" s="191"/>
      <c r="H66" s="191"/>
      <c r="I66" s="191"/>
      <c r="J66" s="191"/>
      <c r="K66" s="191"/>
      <c r="L66" s="191"/>
      <c r="M66" s="191"/>
      <c r="O66" s="24"/>
      <c r="P66" s="24"/>
      <c r="Q66" s="24"/>
      <c r="R66" s="24"/>
      <c r="S66" s="24"/>
      <c r="T66" s="24"/>
      <c r="U66" s="24"/>
    </row>
    <row r="67" spans="1:26" ht="15" customHeight="1" x14ac:dyDescent="0.2">
      <c r="A67" s="27"/>
      <c r="B67" s="191"/>
      <c r="C67" s="191"/>
      <c r="D67" s="27"/>
      <c r="E67" s="27"/>
      <c r="F67" s="27"/>
      <c r="G67" s="27"/>
      <c r="H67" s="27"/>
      <c r="I67" s="27"/>
      <c r="J67" s="191"/>
      <c r="K67" s="191"/>
      <c r="L67" s="191"/>
      <c r="M67" s="191"/>
      <c r="O67" s="24"/>
      <c r="P67" s="24"/>
      <c r="Q67" s="24"/>
      <c r="R67" s="24"/>
      <c r="S67" s="24"/>
      <c r="T67" s="24"/>
      <c r="U67" s="24"/>
    </row>
    <row r="68" spans="1:26" ht="15" customHeight="1" x14ac:dyDescent="0.2">
      <c r="A68" s="27"/>
      <c r="B68" s="191"/>
      <c r="C68" s="191"/>
      <c r="D68" s="27"/>
      <c r="E68" s="27"/>
      <c r="F68" s="27"/>
      <c r="G68" s="27"/>
      <c r="H68" s="27"/>
      <c r="I68" s="27"/>
      <c r="J68" s="191"/>
      <c r="K68" s="191"/>
      <c r="L68" s="191"/>
      <c r="M68" s="191"/>
      <c r="O68" s="24"/>
      <c r="P68" s="24"/>
      <c r="Q68" s="24"/>
      <c r="R68" s="24"/>
      <c r="S68" s="24"/>
      <c r="T68" s="24"/>
      <c r="U68" s="24"/>
    </row>
    <row r="69" spans="1:26" ht="15" customHeight="1" x14ac:dyDescent="0.2">
      <c r="A69" s="27"/>
      <c r="B69" s="191"/>
      <c r="C69" s="191"/>
      <c r="D69" s="27"/>
      <c r="E69" s="27"/>
      <c r="F69" s="27"/>
      <c r="G69" s="27"/>
      <c r="H69" s="27"/>
      <c r="I69" s="27"/>
      <c r="J69" s="191"/>
      <c r="K69" s="191"/>
      <c r="L69" s="191"/>
      <c r="M69" s="191"/>
      <c r="O69" s="24"/>
      <c r="P69" s="24"/>
      <c r="Q69" s="24"/>
      <c r="R69" s="24"/>
      <c r="S69" s="24"/>
      <c r="T69" s="24"/>
      <c r="U69" s="24"/>
    </row>
    <row r="70" spans="1:26" ht="15" customHeight="1" x14ac:dyDescent="0.2">
      <c r="A70" s="27"/>
      <c r="B70" s="191"/>
      <c r="C70" s="191"/>
      <c r="D70" s="27"/>
      <c r="E70" s="27"/>
      <c r="F70" s="27"/>
      <c r="G70" s="27"/>
      <c r="H70" s="27"/>
      <c r="I70" s="27"/>
      <c r="J70" s="191"/>
      <c r="K70" s="191"/>
      <c r="L70" s="191"/>
      <c r="M70" s="191"/>
      <c r="O70" s="24"/>
      <c r="P70" s="24"/>
      <c r="Q70" s="24"/>
      <c r="R70" s="24"/>
      <c r="S70" s="24"/>
      <c r="T70" s="24"/>
      <c r="U70" s="24"/>
    </row>
    <row r="71" spans="1:26" ht="15" customHeight="1" x14ac:dyDescent="0.2">
      <c r="A71" s="27"/>
      <c r="B71" s="191"/>
      <c r="C71" s="191"/>
      <c r="D71" s="27"/>
      <c r="E71" s="27"/>
      <c r="F71" s="27"/>
      <c r="G71" s="27"/>
      <c r="H71" s="27"/>
      <c r="I71" s="27"/>
      <c r="J71" s="191"/>
      <c r="K71" s="191"/>
      <c r="L71" s="191"/>
      <c r="M71" s="191"/>
      <c r="O71" s="24"/>
      <c r="P71" s="24"/>
      <c r="Q71" s="24"/>
      <c r="R71" s="24"/>
      <c r="S71" s="24"/>
      <c r="T71" s="24"/>
      <c r="U71" s="24"/>
    </row>
    <row r="72" spans="1:26" ht="15" customHeight="1" x14ac:dyDescent="0.2">
      <c r="A72" s="27"/>
      <c r="B72" s="191"/>
      <c r="C72" s="191"/>
      <c r="D72" s="191"/>
      <c r="E72" s="191"/>
      <c r="F72" s="191"/>
      <c r="G72" s="191"/>
      <c r="H72" s="191"/>
      <c r="I72" s="191"/>
      <c r="J72" s="191"/>
      <c r="K72" s="191"/>
      <c r="L72" s="191"/>
      <c r="M72" s="191"/>
      <c r="O72" s="24"/>
      <c r="P72" s="24"/>
      <c r="Q72" s="24"/>
      <c r="R72" s="24"/>
      <c r="S72" s="24"/>
      <c r="T72" s="24"/>
      <c r="U72" s="24"/>
    </row>
    <row r="73" spans="1:26" ht="15" customHeight="1" x14ac:dyDescent="0.2">
      <c r="A73" s="27"/>
      <c r="B73" s="191"/>
      <c r="C73" s="191"/>
      <c r="D73" s="191"/>
      <c r="E73" s="191"/>
      <c r="F73" s="191"/>
      <c r="G73" s="191"/>
      <c r="H73" s="191"/>
      <c r="I73" s="191"/>
      <c r="J73" s="191"/>
      <c r="K73" s="191"/>
      <c r="L73" s="191"/>
      <c r="M73" s="191"/>
      <c r="O73" s="24"/>
      <c r="P73" s="24"/>
      <c r="Q73" s="24"/>
      <c r="R73" s="24"/>
      <c r="S73" s="24"/>
      <c r="T73" s="24"/>
      <c r="U73" s="24"/>
    </row>
    <row r="74" spans="1:26" ht="15" customHeight="1" x14ac:dyDescent="0.2">
      <c r="A74" s="27"/>
      <c r="B74" s="191"/>
      <c r="C74" s="191"/>
      <c r="D74" s="191"/>
      <c r="E74" s="191"/>
      <c r="F74" s="191"/>
      <c r="G74" s="191"/>
      <c r="H74" s="191"/>
      <c r="I74" s="191"/>
      <c r="J74" s="191"/>
      <c r="K74" s="191"/>
      <c r="L74" s="191"/>
      <c r="M74" s="191"/>
      <c r="O74" s="24"/>
      <c r="P74" s="24"/>
      <c r="Q74" s="24"/>
      <c r="R74" s="24"/>
      <c r="S74" s="24"/>
      <c r="T74" s="24"/>
      <c r="U74" s="24"/>
    </row>
    <row r="75" spans="1:26" ht="15" customHeight="1" x14ac:dyDescent="0.2">
      <c r="A75" s="27"/>
      <c r="B75" s="191"/>
      <c r="C75" s="191"/>
      <c r="D75" s="191"/>
      <c r="E75" s="191"/>
      <c r="F75" s="191"/>
      <c r="G75" s="191"/>
      <c r="H75" s="191"/>
      <c r="I75" s="191"/>
      <c r="J75" s="191"/>
      <c r="K75" s="191"/>
      <c r="L75" s="191"/>
      <c r="M75" s="191"/>
      <c r="O75" s="24"/>
      <c r="P75" s="24"/>
      <c r="Q75" s="24"/>
      <c r="R75" s="24"/>
      <c r="S75" s="24"/>
      <c r="T75" s="24"/>
      <c r="U75" s="24"/>
    </row>
    <row r="76" spans="1:26" ht="15" customHeight="1" x14ac:dyDescent="0.15">
      <c r="A76" s="27"/>
      <c r="B76" s="27"/>
      <c r="C76" s="27"/>
      <c r="D76" s="27"/>
      <c r="E76" s="27"/>
      <c r="F76" s="27"/>
      <c r="G76" s="27"/>
      <c r="H76" s="27"/>
      <c r="I76" s="192"/>
      <c r="J76" s="27"/>
      <c r="K76" s="27"/>
      <c r="L76" s="27"/>
      <c r="M76" s="27"/>
      <c r="O76" s="24"/>
      <c r="P76" s="24"/>
      <c r="Q76" s="24"/>
      <c r="R76" s="24"/>
      <c r="S76" s="24"/>
      <c r="T76" s="24"/>
      <c r="U76" s="24"/>
    </row>
    <row r="77" spans="1:26" ht="15" customHeight="1" x14ac:dyDescent="0.15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O77" s="24"/>
      <c r="P77" s="24"/>
      <c r="Q77" s="24"/>
      <c r="R77" s="24"/>
      <c r="S77" s="24"/>
      <c r="T77" s="24"/>
      <c r="U77" s="24"/>
    </row>
    <row r="78" spans="1:26" ht="15" customHeight="1" x14ac:dyDescent="0.15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O78" s="24"/>
      <c r="P78" s="24"/>
      <c r="Q78" s="24"/>
      <c r="R78" s="24"/>
      <c r="S78" s="24"/>
      <c r="T78" s="24"/>
      <c r="U78" s="24"/>
    </row>
    <row r="79" spans="1:26" ht="15" customHeight="1" x14ac:dyDescent="0.15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O79" s="24"/>
      <c r="P79" s="24"/>
      <c r="Q79" s="24"/>
      <c r="R79" s="24"/>
      <c r="S79" s="24"/>
      <c r="T79" s="24"/>
      <c r="U79" s="24"/>
    </row>
    <row r="80" spans="1:26" s="36" customFormat="1" ht="15" customHeight="1" x14ac:dyDescent="0.15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4"/>
      <c r="P80" s="24"/>
      <c r="Q80" s="24"/>
      <c r="R80" s="24"/>
      <c r="S80" s="24"/>
      <c r="T80" s="24"/>
      <c r="U80" s="24"/>
      <c r="V80" s="27"/>
      <c r="W80" s="27"/>
      <c r="X80" s="27"/>
      <c r="Y80" s="27"/>
      <c r="Z80" s="27"/>
    </row>
    <row r="81" spans="1:26" s="36" customFormat="1" ht="15" customHeight="1" x14ac:dyDescent="0.15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4"/>
      <c r="P81" s="24"/>
      <c r="Q81" s="24"/>
      <c r="R81" s="24"/>
      <c r="S81" s="24"/>
      <c r="T81" s="24"/>
      <c r="U81" s="24"/>
      <c r="V81" s="27"/>
      <c r="W81" s="27"/>
      <c r="X81" s="27"/>
      <c r="Y81" s="27"/>
      <c r="Z81" s="27"/>
    </row>
    <row r="82" spans="1:26" s="36" customFormat="1" ht="15" customHeight="1" x14ac:dyDescent="0.15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4"/>
      <c r="P82" s="24"/>
      <c r="Q82" s="24"/>
      <c r="R82" s="24"/>
      <c r="S82" s="24"/>
      <c r="T82" s="24"/>
      <c r="U82" s="24"/>
      <c r="V82" s="27"/>
      <c r="W82" s="27"/>
      <c r="X82" s="27"/>
      <c r="Y82" s="27"/>
      <c r="Z82" s="27"/>
    </row>
    <row r="83" spans="1:26" s="36" customFormat="1" ht="15" customHeight="1" x14ac:dyDescent="0.15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4"/>
      <c r="P83" s="24"/>
      <c r="Q83" s="24"/>
      <c r="R83" s="24"/>
      <c r="S83" s="24"/>
      <c r="T83" s="24"/>
      <c r="U83" s="24"/>
      <c r="V83" s="27"/>
      <c r="W83" s="27"/>
      <c r="X83" s="27"/>
      <c r="Y83" s="27"/>
      <c r="Z83" s="27"/>
    </row>
    <row r="84" spans="1:26" s="36" customFormat="1" ht="15" customHeight="1" x14ac:dyDescent="0.15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4"/>
      <c r="P84" s="24"/>
      <c r="Q84" s="24"/>
      <c r="R84" s="24"/>
      <c r="S84" s="24"/>
      <c r="T84" s="24"/>
      <c r="U84" s="24"/>
      <c r="V84" s="27"/>
      <c r="W84" s="27"/>
      <c r="X84" s="27"/>
      <c r="Y84" s="27"/>
      <c r="Z84" s="27"/>
    </row>
    <row r="85" spans="1:26" s="36" customFormat="1" ht="15" customHeight="1" x14ac:dyDescent="0.15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4"/>
      <c r="P85" s="24"/>
      <c r="Q85" s="24"/>
      <c r="R85" s="24"/>
      <c r="S85" s="24"/>
      <c r="T85" s="24"/>
      <c r="U85" s="24"/>
      <c r="V85" s="27"/>
      <c r="W85" s="27"/>
      <c r="X85" s="27"/>
      <c r="Y85" s="27"/>
      <c r="Z85" s="27"/>
    </row>
    <row r="86" spans="1:26" s="36" customFormat="1" ht="15" customHeight="1" x14ac:dyDescent="0.15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4"/>
      <c r="P86" s="24"/>
      <c r="Q86" s="24"/>
      <c r="R86" s="24"/>
      <c r="S86" s="24"/>
      <c r="T86" s="24"/>
      <c r="U86" s="24"/>
      <c r="V86" s="27"/>
      <c r="W86" s="27"/>
      <c r="X86" s="27"/>
      <c r="Y86" s="27"/>
      <c r="Z86" s="27"/>
    </row>
    <row r="87" spans="1:26" ht="15" customHeight="1" x14ac:dyDescent="0.15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O87" s="24"/>
      <c r="P87" s="24"/>
      <c r="Q87" s="24"/>
      <c r="R87" s="24"/>
      <c r="S87" s="24"/>
      <c r="T87" s="24"/>
      <c r="U87" s="24"/>
    </row>
    <row r="88" spans="1:26" ht="15" customHeight="1" x14ac:dyDescent="0.15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O88" s="24"/>
      <c r="P88" s="24"/>
      <c r="Q88" s="24"/>
      <c r="R88" s="24"/>
      <c r="S88" s="24"/>
      <c r="T88" s="24"/>
      <c r="U88" s="24"/>
    </row>
    <row r="89" spans="1:26" ht="15" customHeight="1" x14ac:dyDescent="0.15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O89" s="24"/>
      <c r="P89" s="24"/>
      <c r="Q89" s="24"/>
      <c r="R89" s="24"/>
      <c r="S89" s="24"/>
      <c r="T89" s="24"/>
      <c r="U89" s="24"/>
    </row>
    <row r="90" spans="1:26" ht="15" customHeight="1" x14ac:dyDescent="0.15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O90" s="24"/>
      <c r="P90" s="24"/>
      <c r="Q90" s="24"/>
      <c r="R90" s="24"/>
      <c r="S90" s="24"/>
      <c r="T90" s="24"/>
      <c r="U90" s="24"/>
    </row>
    <row r="91" spans="1:26" ht="15" customHeight="1" x14ac:dyDescent="0.15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O91" s="24"/>
      <c r="P91" s="24"/>
      <c r="Q91" s="24"/>
      <c r="R91" s="24"/>
      <c r="S91" s="24"/>
      <c r="T91" s="24"/>
      <c r="U91" s="24"/>
    </row>
    <row r="92" spans="1:26" ht="15" customHeight="1" x14ac:dyDescent="0.15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O92" s="24"/>
      <c r="P92" s="24"/>
      <c r="Q92" s="24"/>
      <c r="R92" s="24"/>
      <c r="S92" s="24"/>
      <c r="T92" s="24"/>
      <c r="U92" s="24"/>
    </row>
    <row r="93" spans="1:26" ht="15" customHeight="1" x14ac:dyDescent="0.15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O93" s="24"/>
      <c r="P93" s="24"/>
      <c r="Q93" s="24"/>
      <c r="R93" s="24"/>
      <c r="S93" s="24"/>
      <c r="T93" s="24"/>
      <c r="U93" s="24"/>
    </row>
    <row r="94" spans="1:26" ht="15" customHeight="1" x14ac:dyDescent="0.15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O94" s="24"/>
      <c r="P94" s="24"/>
      <c r="Q94" s="24"/>
      <c r="R94" s="24"/>
      <c r="S94" s="24"/>
      <c r="T94" s="24"/>
      <c r="U94" s="24"/>
    </row>
    <row r="95" spans="1:26" ht="15" customHeight="1" x14ac:dyDescent="0.15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O95" s="24"/>
      <c r="P95" s="24"/>
      <c r="Q95" s="24"/>
      <c r="R95" s="24"/>
      <c r="S95" s="24"/>
      <c r="T95" s="24"/>
      <c r="U95" s="24"/>
    </row>
    <row r="96" spans="1:26" x14ac:dyDescent="0.15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</row>
    <row r="97" s="27" customFormat="1" x14ac:dyDescent="0.15"/>
    <row r="98" s="27" customFormat="1" x14ac:dyDescent="0.15"/>
    <row r="99" s="27" customFormat="1" x14ac:dyDescent="0.15"/>
    <row r="100" s="27" customFormat="1" x14ac:dyDescent="0.15"/>
    <row r="101" s="27" customFormat="1" x14ac:dyDescent="0.15"/>
    <row r="102" s="27" customFormat="1" x14ac:dyDescent="0.15"/>
    <row r="103" s="27" customFormat="1" x14ac:dyDescent="0.15"/>
    <row r="104" s="27" customFormat="1" x14ac:dyDescent="0.15"/>
    <row r="105" s="27" customFormat="1" x14ac:dyDescent="0.15"/>
    <row r="106" s="27" customFormat="1" x14ac:dyDescent="0.15"/>
    <row r="107" s="27" customFormat="1" x14ac:dyDescent="0.15"/>
    <row r="108" s="27" customFormat="1" x14ac:dyDescent="0.15"/>
    <row r="109" s="27" customFormat="1" x14ac:dyDescent="0.15"/>
    <row r="110" s="27" customFormat="1" x14ac:dyDescent="0.15"/>
    <row r="111" s="27" customFormat="1" x14ac:dyDescent="0.15"/>
    <row r="112" s="27" customFormat="1" x14ac:dyDescent="0.15"/>
    <row r="113" s="27" customFormat="1" x14ac:dyDescent="0.15"/>
    <row r="114" s="27" customFormat="1" x14ac:dyDescent="0.15"/>
    <row r="115" s="27" customFormat="1" x14ac:dyDescent="0.15"/>
    <row r="116" s="27" customFormat="1" x14ac:dyDescent="0.15"/>
    <row r="117" s="27" customFormat="1" x14ac:dyDescent="0.15"/>
    <row r="118" s="27" customFormat="1" x14ac:dyDescent="0.15"/>
    <row r="119" s="27" customFormat="1" x14ac:dyDescent="0.15"/>
    <row r="120" s="27" customFormat="1" x14ac:dyDescent="0.15"/>
    <row r="121" s="27" customFormat="1" x14ac:dyDescent="0.15"/>
    <row r="122" s="27" customFormat="1" x14ac:dyDescent="0.15"/>
    <row r="123" s="27" customFormat="1" x14ac:dyDescent="0.15"/>
    <row r="124" s="27" customFormat="1" x14ac:dyDescent="0.15"/>
    <row r="125" s="27" customFormat="1" x14ac:dyDescent="0.15"/>
    <row r="126" s="27" customFormat="1" x14ac:dyDescent="0.15"/>
    <row r="127" s="27" customFormat="1" x14ac:dyDescent="0.15"/>
    <row r="128" s="27" customFormat="1" x14ac:dyDescent="0.15"/>
    <row r="129" s="27" customFormat="1" x14ac:dyDescent="0.15"/>
    <row r="130" s="27" customFormat="1" x14ac:dyDescent="0.15"/>
    <row r="131" s="27" customFormat="1" x14ac:dyDescent="0.15"/>
    <row r="132" s="27" customFormat="1" x14ac:dyDescent="0.15"/>
    <row r="133" s="27" customFormat="1" x14ac:dyDescent="0.15"/>
    <row r="134" s="27" customFormat="1" x14ac:dyDescent="0.15"/>
    <row r="135" s="27" customFormat="1" x14ac:dyDescent="0.15"/>
    <row r="136" s="27" customFormat="1" x14ac:dyDescent="0.15"/>
    <row r="137" s="27" customFormat="1" x14ac:dyDescent="0.15"/>
    <row r="138" s="27" customFormat="1" x14ac:dyDescent="0.15"/>
    <row r="139" s="27" customFormat="1" x14ac:dyDescent="0.15"/>
    <row r="140" s="27" customFormat="1" x14ac:dyDescent="0.15"/>
    <row r="141" s="27" customFormat="1" x14ac:dyDescent="0.15"/>
    <row r="142" s="27" customFormat="1" x14ac:dyDescent="0.15"/>
    <row r="143" s="27" customFormat="1" x14ac:dyDescent="0.15"/>
    <row r="144" s="27" customFormat="1" x14ac:dyDescent="0.15"/>
    <row r="145" s="27" customFormat="1" x14ac:dyDescent="0.15"/>
    <row r="146" s="27" customFormat="1" x14ac:dyDescent="0.15"/>
    <row r="147" s="27" customFormat="1" x14ac:dyDescent="0.15"/>
    <row r="148" s="27" customFormat="1" x14ac:dyDescent="0.15"/>
    <row r="149" s="27" customFormat="1" x14ac:dyDescent="0.15"/>
    <row r="150" s="27" customFormat="1" x14ac:dyDescent="0.15"/>
    <row r="151" s="27" customFormat="1" x14ac:dyDescent="0.15"/>
    <row r="152" s="27" customFormat="1" x14ac:dyDescent="0.15"/>
    <row r="153" s="27" customFormat="1" x14ac:dyDescent="0.15"/>
    <row r="154" s="27" customFormat="1" x14ac:dyDescent="0.15"/>
    <row r="155" s="27" customFormat="1" x14ac:dyDescent="0.15"/>
    <row r="156" s="27" customFormat="1" x14ac:dyDescent="0.15"/>
    <row r="157" s="27" customFormat="1" x14ac:dyDescent="0.15"/>
    <row r="158" s="27" customFormat="1" x14ac:dyDescent="0.15"/>
    <row r="159" s="27" customFormat="1" x14ac:dyDescent="0.15"/>
    <row r="160" s="27" customFormat="1" x14ac:dyDescent="0.15"/>
    <row r="161" s="27" customFormat="1" x14ac:dyDescent="0.15"/>
    <row r="162" s="27" customFormat="1" x14ac:dyDescent="0.15"/>
    <row r="163" s="27" customFormat="1" x14ac:dyDescent="0.15"/>
    <row r="164" s="27" customFormat="1" x14ac:dyDescent="0.15"/>
    <row r="165" s="27" customFormat="1" x14ac:dyDescent="0.15"/>
    <row r="166" s="27" customFormat="1" x14ac:dyDescent="0.15"/>
    <row r="167" s="27" customFormat="1" x14ac:dyDescent="0.15"/>
    <row r="168" s="27" customFormat="1" x14ac:dyDescent="0.15"/>
    <row r="169" s="27" customFormat="1" x14ac:dyDescent="0.15"/>
    <row r="170" s="27" customFormat="1" x14ac:dyDescent="0.15"/>
    <row r="171" s="27" customFormat="1" x14ac:dyDescent="0.15"/>
    <row r="172" s="27" customFormat="1" x14ac:dyDescent="0.15"/>
    <row r="173" s="27" customFormat="1" x14ac:dyDescent="0.15"/>
    <row r="174" s="27" customFormat="1" x14ac:dyDescent="0.15"/>
    <row r="175" s="27" customFormat="1" x14ac:dyDescent="0.15"/>
    <row r="176" s="27" customFormat="1" x14ac:dyDescent="0.15"/>
    <row r="177" s="27" customFormat="1" x14ac:dyDescent="0.15"/>
    <row r="178" s="27" customFormat="1" x14ac:dyDescent="0.15"/>
    <row r="179" s="27" customFormat="1" x14ac:dyDescent="0.15"/>
    <row r="180" s="27" customFormat="1" x14ac:dyDescent="0.15"/>
    <row r="181" s="27" customFormat="1" x14ac:dyDescent="0.15"/>
    <row r="182" s="27" customFormat="1" x14ac:dyDescent="0.15"/>
    <row r="183" s="27" customFormat="1" x14ac:dyDescent="0.15"/>
    <row r="184" s="27" customFormat="1" x14ac:dyDescent="0.15"/>
    <row r="185" s="27" customFormat="1" x14ac:dyDescent="0.15"/>
    <row r="186" s="27" customFormat="1" x14ac:dyDescent="0.15"/>
    <row r="187" s="27" customFormat="1" x14ac:dyDescent="0.15"/>
    <row r="188" s="27" customFormat="1" x14ac:dyDescent="0.15"/>
    <row r="189" s="27" customFormat="1" x14ac:dyDescent="0.15"/>
    <row r="190" s="27" customFormat="1" x14ac:dyDescent="0.15"/>
    <row r="191" s="27" customFormat="1" x14ac:dyDescent="0.15"/>
    <row r="192" s="27" customFormat="1" x14ac:dyDescent="0.15"/>
    <row r="193" s="27" customFormat="1" x14ac:dyDescent="0.15"/>
    <row r="194" s="27" customFormat="1" x14ac:dyDescent="0.15"/>
    <row r="195" s="27" customFormat="1" x14ac:dyDescent="0.15"/>
    <row r="196" s="27" customFormat="1" x14ac:dyDescent="0.15"/>
    <row r="197" s="27" customFormat="1" x14ac:dyDescent="0.15"/>
    <row r="198" s="27" customFormat="1" x14ac:dyDescent="0.15"/>
    <row r="199" s="27" customFormat="1" x14ac:dyDescent="0.15"/>
    <row r="200" s="27" customFormat="1" x14ac:dyDescent="0.15"/>
    <row r="201" s="27" customFormat="1" x14ac:dyDescent="0.15"/>
    <row r="202" s="27" customFormat="1" x14ac:dyDescent="0.15"/>
    <row r="203" s="27" customFormat="1" x14ac:dyDescent="0.15"/>
    <row r="204" s="27" customFormat="1" x14ac:dyDescent="0.15"/>
    <row r="205" s="27" customFormat="1" x14ac:dyDescent="0.15"/>
    <row r="206" s="27" customFormat="1" x14ac:dyDescent="0.15"/>
    <row r="207" s="27" customFormat="1" x14ac:dyDescent="0.15"/>
    <row r="208" s="27" customFormat="1" x14ac:dyDescent="0.15"/>
    <row r="209" s="27" customFormat="1" x14ac:dyDescent="0.15"/>
    <row r="210" s="27" customFormat="1" x14ac:dyDescent="0.15"/>
    <row r="211" s="27" customFormat="1" x14ac:dyDescent="0.15"/>
    <row r="212" s="27" customFormat="1" x14ac:dyDescent="0.15"/>
    <row r="213" s="27" customFormat="1" x14ac:dyDescent="0.15"/>
    <row r="214" s="27" customFormat="1" x14ac:dyDescent="0.15"/>
    <row r="215" s="27" customFormat="1" x14ac:dyDescent="0.15"/>
    <row r="216" s="27" customFormat="1" x14ac:dyDescent="0.15"/>
    <row r="217" s="27" customFormat="1" x14ac:dyDescent="0.15"/>
    <row r="218" s="27" customFormat="1" x14ac:dyDescent="0.15"/>
    <row r="219" s="27" customFormat="1" x14ac:dyDescent="0.15"/>
    <row r="220" s="27" customFormat="1" x14ac:dyDescent="0.15"/>
    <row r="221" s="27" customFormat="1" x14ac:dyDescent="0.15"/>
    <row r="222" s="27" customFormat="1" x14ac:dyDescent="0.15"/>
    <row r="223" s="27" customFormat="1" x14ac:dyDescent="0.15"/>
    <row r="224" s="27" customFormat="1" x14ac:dyDescent="0.15"/>
    <row r="225" s="27" customFormat="1" x14ac:dyDescent="0.15"/>
    <row r="226" s="27" customFormat="1" x14ac:dyDescent="0.15"/>
    <row r="227" s="27" customFormat="1" x14ac:dyDescent="0.15"/>
    <row r="228" s="27" customFormat="1" x14ac:dyDescent="0.15"/>
    <row r="229" s="27" customFormat="1" x14ac:dyDescent="0.15"/>
    <row r="230" s="27" customFormat="1" x14ac:dyDescent="0.15"/>
    <row r="231" s="27" customFormat="1" x14ac:dyDescent="0.15"/>
    <row r="232" s="27" customFormat="1" x14ac:dyDescent="0.15"/>
    <row r="233" s="27" customFormat="1" x14ac:dyDescent="0.15"/>
    <row r="234" s="27" customFormat="1" x14ac:dyDescent="0.15"/>
    <row r="235" s="27" customFormat="1" x14ac:dyDescent="0.15"/>
    <row r="236" s="27" customFormat="1" x14ac:dyDescent="0.15"/>
    <row r="237" s="27" customFormat="1" x14ac:dyDescent="0.15"/>
    <row r="238" s="27" customFormat="1" x14ac:dyDescent="0.15"/>
    <row r="239" s="27" customFormat="1" x14ac:dyDescent="0.15"/>
    <row r="240" s="27" customFormat="1" x14ac:dyDescent="0.15"/>
    <row r="241" s="27" customFormat="1" x14ac:dyDescent="0.15"/>
    <row r="242" s="27" customFormat="1" x14ac:dyDescent="0.15"/>
    <row r="243" s="27" customFormat="1" x14ac:dyDescent="0.15"/>
    <row r="244" s="27" customFormat="1" x14ac:dyDescent="0.15"/>
    <row r="245" s="27" customFormat="1" x14ac:dyDescent="0.15"/>
    <row r="246" s="27" customFormat="1" x14ac:dyDescent="0.15"/>
    <row r="247" s="27" customFormat="1" x14ac:dyDescent="0.15"/>
    <row r="248" s="27" customFormat="1" x14ac:dyDescent="0.15"/>
    <row r="249" s="27" customFormat="1" x14ac:dyDescent="0.15"/>
    <row r="250" s="27" customFormat="1" x14ac:dyDescent="0.15"/>
    <row r="251" s="27" customFormat="1" x14ac:dyDescent="0.15"/>
    <row r="252" s="27" customFormat="1" x14ac:dyDescent="0.15"/>
    <row r="253" s="27" customFormat="1" x14ac:dyDescent="0.15"/>
    <row r="254" s="27" customFormat="1" x14ac:dyDescent="0.15"/>
    <row r="255" s="27" customFormat="1" x14ac:dyDescent="0.15"/>
    <row r="256" s="27" customFormat="1" x14ac:dyDescent="0.15"/>
    <row r="257" s="27" customFormat="1" x14ac:dyDescent="0.15"/>
    <row r="258" s="27" customFormat="1" x14ac:dyDescent="0.15"/>
    <row r="259" s="27" customFormat="1" x14ac:dyDescent="0.15"/>
    <row r="260" s="27" customFormat="1" x14ac:dyDescent="0.15"/>
    <row r="261" s="27" customFormat="1" x14ac:dyDescent="0.15"/>
    <row r="262" s="27" customFormat="1" x14ac:dyDescent="0.15"/>
    <row r="263" s="27" customFormat="1" x14ac:dyDescent="0.15"/>
    <row r="264" s="27" customFormat="1" x14ac:dyDescent="0.15"/>
    <row r="265" s="27" customFormat="1" x14ac:dyDescent="0.15"/>
    <row r="266" s="27" customFormat="1" x14ac:dyDescent="0.15"/>
    <row r="267" s="27" customFormat="1" x14ac:dyDescent="0.15"/>
    <row r="268" s="27" customFormat="1" x14ac:dyDescent="0.15"/>
    <row r="269" s="27" customFormat="1" x14ac:dyDescent="0.15"/>
    <row r="270" s="27" customFormat="1" x14ac:dyDescent="0.15"/>
    <row r="271" s="27" customFormat="1" x14ac:dyDescent="0.15"/>
    <row r="272" s="27" customFormat="1" x14ac:dyDescent="0.15"/>
    <row r="273" s="27" customFormat="1" x14ac:dyDescent="0.15"/>
    <row r="274" s="27" customFormat="1" x14ac:dyDescent="0.15"/>
    <row r="275" s="27" customFormat="1" x14ac:dyDescent="0.15"/>
    <row r="276" s="27" customFormat="1" x14ac:dyDescent="0.15"/>
    <row r="277" s="27" customFormat="1" x14ac:dyDescent="0.15"/>
    <row r="278" s="27" customFormat="1" x14ac:dyDescent="0.15"/>
    <row r="279" s="27" customFormat="1" x14ac:dyDescent="0.15"/>
    <row r="280" s="27" customFormat="1" x14ac:dyDescent="0.15"/>
    <row r="281" s="27" customFormat="1" x14ac:dyDescent="0.15"/>
    <row r="282" s="27" customFormat="1" x14ac:dyDescent="0.15"/>
    <row r="283" s="27" customFormat="1" x14ac:dyDescent="0.15"/>
    <row r="284" s="27" customFormat="1" x14ac:dyDescent="0.15"/>
    <row r="285" s="27" customFormat="1" x14ac:dyDescent="0.15"/>
    <row r="286" s="27" customFormat="1" x14ac:dyDescent="0.15"/>
    <row r="287" s="27" customFormat="1" x14ac:dyDescent="0.15"/>
    <row r="288" s="27" customFormat="1" x14ac:dyDescent="0.15"/>
    <row r="289" s="27" customFormat="1" x14ac:dyDescent="0.15"/>
    <row r="290" s="27" customFormat="1" x14ac:dyDescent="0.15"/>
    <row r="291" s="27" customFormat="1" x14ac:dyDescent="0.15"/>
    <row r="292" s="27" customFormat="1" x14ac:dyDescent="0.15"/>
    <row r="293" s="27" customFormat="1" x14ac:dyDescent="0.15"/>
    <row r="294" s="27" customFormat="1" x14ac:dyDescent="0.15"/>
    <row r="295" s="27" customFormat="1" x14ac:dyDescent="0.15"/>
    <row r="296" s="27" customFormat="1" x14ac:dyDescent="0.15"/>
    <row r="297" s="27" customFormat="1" x14ac:dyDescent="0.15"/>
    <row r="298" s="27" customFormat="1" x14ac:dyDescent="0.15"/>
    <row r="299" s="27" customFormat="1" x14ac:dyDescent="0.15"/>
    <row r="300" s="27" customFormat="1" x14ac:dyDescent="0.15"/>
    <row r="301" s="27" customFormat="1" x14ac:dyDescent="0.15"/>
    <row r="302" s="27" customFormat="1" x14ac:dyDescent="0.15"/>
    <row r="303" s="27" customFormat="1" x14ac:dyDescent="0.15"/>
    <row r="304" s="27" customFormat="1" x14ac:dyDescent="0.15"/>
    <row r="305" s="27" customFormat="1" x14ac:dyDescent="0.15"/>
    <row r="306" s="27" customFormat="1" x14ac:dyDescent="0.15"/>
    <row r="307" s="27" customFormat="1" x14ac:dyDescent="0.15"/>
    <row r="308" s="27" customFormat="1" x14ac:dyDescent="0.15"/>
    <row r="309" s="27" customFormat="1" x14ac:dyDescent="0.15"/>
    <row r="310" s="27" customFormat="1" x14ac:dyDescent="0.15"/>
    <row r="311" s="27" customFormat="1" x14ac:dyDescent="0.15"/>
    <row r="312" s="27" customFormat="1" x14ac:dyDescent="0.15"/>
    <row r="313" s="27" customFormat="1" x14ac:dyDescent="0.15"/>
    <row r="314" s="27" customFormat="1" x14ac:dyDescent="0.15"/>
    <row r="315" s="27" customFormat="1" x14ac:dyDescent="0.15"/>
    <row r="316" s="27" customFormat="1" x14ac:dyDescent="0.15"/>
    <row r="317" s="27" customFormat="1" x14ac:dyDescent="0.15"/>
    <row r="318" s="27" customFormat="1" x14ac:dyDescent="0.15"/>
    <row r="319" s="27" customFormat="1" x14ac:dyDescent="0.15"/>
    <row r="320" s="27" customFormat="1" x14ac:dyDescent="0.15"/>
    <row r="321" s="27" customFormat="1" x14ac:dyDescent="0.15"/>
    <row r="322" s="27" customFormat="1" x14ac:dyDescent="0.15"/>
    <row r="323" s="27" customFormat="1" x14ac:dyDescent="0.15"/>
    <row r="324" s="27" customFormat="1" x14ac:dyDescent="0.15"/>
    <row r="325" s="27" customFormat="1" x14ac:dyDescent="0.15"/>
    <row r="326" s="27" customFormat="1" x14ac:dyDescent="0.15"/>
    <row r="327" s="27" customFormat="1" x14ac:dyDescent="0.15"/>
    <row r="328" s="27" customFormat="1" x14ac:dyDescent="0.15"/>
    <row r="329" s="27" customFormat="1" x14ac:dyDescent="0.15"/>
    <row r="330" s="27" customFormat="1" x14ac:dyDescent="0.15"/>
    <row r="331" s="27" customFormat="1" x14ac:dyDescent="0.15"/>
    <row r="332" s="27" customFormat="1" x14ac:dyDescent="0.15"/>
    <row r="333" s="27" customFormat="1" x14ac:dyDescent="0.15"/>
    <row r="334" s="27" customFormat="1" x14ac:dyDescent="0.15"/>
    <row r="335" s="27" customFormat="1" x14ac:dyDescent="0.15"/>
    <row r="336" s="27" customFormat="1" x14ac:dyDescent="0.15"/>
    <row r="337" s="27" customFormat="1" x14ac:dyDescent="0.15"/>
    <row r="338" s="27" customFormat="1" x14ac:dyDescent="0.15"/>
    <row r="339" s="27" customFormat="1" x14ac:dyDescent="0.15"/>
    <row r="340" s="27" customFormat="1" x14ac:dyDescent="0.15"/>
    <row r="341" s="27" customFormat="1" x14ac:dyDescent="0.15"/>
    <row r="342" s="27" customFormat="1" x14ac:dyDescent="0.15"/>
    <row r="343" s="27" customFormat="1" x14ac:dyDescent="0.15"/>
    <row r="344" s="27" customFormat="1" x14ac:dyDescent="0.15"/>
    <row r="345" s="27" customFormat="1" x14ac:dyDescent="0.15"/>
    <row r="346" s="27" customFormat="1" x14ac:dyDescent="0.15"/>
    <row r="347" s="27" customFormat="1" x14ac:dyDescent="0.15"/>
    <row r="348" s="27" customFormat="1" x14ac:dyDescent="0.15"/>
    <row r="349" s="27" customFormat="1" x14ac:dyDescent="0.15"/>
    <row r="350" s="27" customFormat="1" x14ac:dyDescent="0.15"/>
    <row r="351" s="27" customFormat="1" x14ac:dyDescent="0.15"/>
    <row r="352" s="27" customFormat="1" x14ac:dyDescent="0.15"/>
    <row r="353" s="27" customFormat="1" x14ac:dyDescent="0.15"/>
    <row r="354" s="27" customFormat="1" x14ac:dyDescent="0.15"/>
    <row r="355" s="27" customFormat="1" x14ac:dyDescent="0.15"/>
    <row r="356" s="27" customFormat="1" x14ac:dyDescent="0.15"/>
    <row r="357" s="27" customFormat="1" x14ac:dyDescent="0.15"/>
    <row r="358" s="27" customFormat="1" x14ac:dyDescent="0.15"/>
    <row r="359" s="27" customFormat="1" x14ac:dyDescent="0.15"/>
    <row r="360" s="27" customFormat="1" x14ac:dyDescent="0.15"/>
    <row r="361" s="27" customFormat="1" x14ac:dyDescent="0.15"/>
    <row r="362" s="27" customFormat="1" x14ac:dyDescent="0.15"/>
    <row r="363" s="27" customFormat="1" x14ac:dyDescent="0.15"/>
    <row r="364" s="27" customFormat="1" x14ac:dyDescent="0.15"/>
    <row r="365" s="27" customFormat="1" x14ac:dyDescent="0.15"/>
    <row r="366" s="27" customFormat="1" x14ac:dyDescent="0.15"/>
    <row r="367" s="27" customFormat="1" x14ac:dyDescent="0.15"/>
    <row r="368" s="27" customFormat="1" x14ac:dyDescent="0.15"/>
    <row r="369" s="27" customFormat="1" x14ac:dyDescent="0.15"/>
    <row r="370" s="27" customFormat="1" x14ac:dyDescent="0.15"/>
    <row r="371" s="27" customFormat="1" x14ac:dyDescent="0.15"/>
    <row r="372" s="27" customFormat="1" x14ac:dyDescent="0.15"/>
    <row r="373" s="27" customFormat="1" x14ac:dyDescent="0.15"/>
    <row r="374" s="27" customFormat="1" x14ac:dyDescent="0.15"/>
    <row r="375" s="27" customFormat="1" x14ac:dyDescent="0.15"/>
    <row r="376" s="27" customFormat="1" x14ac:dyDescent="0.15"/>
    <row r="377" s="27" customFormat="1" x14ac:dyDescent="0.15"/>
    <row r="378" s="27" customFormat="1" x14ac:dyDescent="0.15"/>
    <row r="379" s="27" customFormat="1" x14ac:dyDescent="0.15"/>
    <row r="380" s="27" customFormat="1" x14ac:dyDescent="0.15"/>
    <row r="381" s="27" customFormat="1" x14ac:dyDescent="0.15"/>
    <row r="382" s="27" customFormat="1" x14ac:dyDescent="0.15"/>
    <row r="383" s="27" customFormat="1" x14ac:dyDescent="0.15"/>
    <row r="384" s="27" customFormat="1" x14ac:dyDescent="0.15"/>
    <row r="385" s="27" customFormat="1" x14ac:dyDescent="0.15"/>
    <row r="386" s="27" customFormat="1" x14ac:dyDescent="0.15"/>
    <row r="387" s="27" customFormat="1" x14ac:dyDescent="0.15"/>
    <row r="388" s="27" customFormat="1" x14ac:dyDescent="0.15"/>
    <row r="389" s="27" customFormat="1" x14ac:dyDescent="0.15"/>
    <row r="390" s="27" customFormat="1" x14ac:dyDescent="0.15"/>
    <row r="391" s="27" customFormat="1" x14ac:dyDescent="0.15"/>
    <row r="392" s="27" customFormat="1" x14ac:dyDescent="0.15"/>
    <row r="393" s="27" customFormat="1" x14ac:dyDescent="0.15"/>
    <row r="394" s="27" customFormat="1" x14ac:dyDescent="0.15"/>
    <row r="395" s="27" customFormat="1" x14ac:dyDescent="0.15"/>
    <row r="396" s="27" customFormat="1" x14ac:dyDescent="0.15"/>
    <row r="397" s="27" customFormat="1" x14ac:dyDescent="0.15"/>
    <row r="398" s="27" customFormat="1" x14ac:dyDescent="0.15"/>
    <row r="399" s="27" customFormat="1" x14ac:dyDescent="0.15"/>
    <row r="400" s="27" customFormat="1" x14ac:dyDescent="0.15"/>
    <row r="401" s="27" customFormat="1" x14ac:dyDescent="0.15"/>
    <row r="402" s="27" customFormat="1" x14ac:dyDescent="0.15"/>
    <row r="403" s="27" customFormat="1" x14ac:dyDescent="0.15"/>
    <row r="404" s="27" customFormat="1" x14ac:dyDescent="0.15"/>
    <row r="405" s="27" customFormat="1" x14ac:dyDescent="0.15"/>
    <row r="406" s="27" customFormat="1" x14ac:dyDescent="0.15"/>
    <row r="407" s="27" customFormat="1" x14ac:dyDescent="0.15"/>
    <row r="408" s="27" customFormat="1" x14ac:dyDescent="0.15"/>
    <row r="409" s="27" customFormat="1" x14ac:dyDescent="0.15"/>
    <row r="410" s="27" customFormat="1" x14ac:dyDescent="0.15"/>
    <row r="411" s="27" customFormat="1" x14ac:dyDescent="0.15"/>
    <row r="412" s="27" customFormat="1" x14ac:dyDescent="0.15"/>
    <row r="413" s="27" customFormat="1" x14ac:dyDescent="0.15"/>
    <row r="414" s="27" customFormat="1" x14ac:dyDescent="0.15"/>
    <row r="415" s="27" customFormat="1" x14ac:dyDescent="0.15"/>
    <row r="416" s="27" customFormat="1" x14ac:dyDescent="0.15"/>
    <row r="417" s="27" customFormat="1" x14ac:dyDescent="0.15"/>
    <row r="418" s="27" customFormat="1" x14ac:dyDescent="0.15"/>
    <row r="419" s="27" customFormat="1" x14ac:dyDescent="0.15"/>
    <row r="420" s="27" customFormat="1" x14ac:dyDescent="0.15"/>
    <row r="421" s="27" customFormat="1" x14ac:dyDescent="0.15"/>
    <row r="422" s="27" customFormat="1" x14ac:dyDescent="0.15"/>
    <row r="423" s="27" customFormat="1" x14ac:dyDescent="0.15"/>
    <row r="424" s="27" customFormat="1" x14ac:dyDescent="0.15"/>
    <row r="425" s="27" customFormat="1" x14ac:dyDescent="0.15"/>
    <row r="426" s="27" customFormat="1" x14ac:dyDescent="0.15"/>
    <row r="427" s="27" customFormat="1" x14ac:dyDescent="0.15"/>
    <row r="428" s="27" customFormat="1" x14ac:dyDescent="0.15"/>
    <row r="429" s="27" customFormat="1" x14ac:dyDescent="0.15"/>
    <row r="430" s="27" customFormat="1" x14ac:dyDescent="0.15"/>
    <row r="431" s="27" customFormat="1" x14ac:dyDescent="0.15"/>
    <row r="432" s="27" customFormat="1" x14ac:dyDescent="0.15"/>
    <row r="433" s="27" customFormat="1" x14ac:dyDescent="0.15"/>
    <row r="434" s="27" customFormat="1" x14ac:dyDescent="0.15"/>
    <row r="435" s="27" customFormat="1" x14ac:dyDescent="0.15"/>
    <row r="436" s="27" customFormat="1" x14ac:dyDescent="0.15"/>
    <row r="437" s="27" customFormat="1" x14ac:dyDescent="0.15"/>
    <row r="438" s="27" customFormat="1" x14ac:dyDescent="0.15"/>
    <row r="439" s="27" customFormat="1" x14ac:dyDescent="0.15"/>
    <row r="440" s="27" customFormat="1" x14ac:dyDescent="0.15"/>
    <row r="441" s="27" customFormat="1" x14ac:dyDescent="0.15"/>
    <row r="442" s="27" customFormat="1" x14ac:dyDescent="0.15"/>
    <row r="443" s="27" customFormat="1" x14ac:dyDescent="0.15"/>
    <row r="444" s="27" customFormat="1" x14ac:dyDescent="0.15"/>
    <row r="445" s="27" customFormat="1" x14ac:dyDescent="0.15"/>
    <row r="446" s="27" customFormat="1" x14ac:dyDescent="0.15"/>
    <row r="447" s="27" customFormat="1" x14ac:dyDescent="0.15"/>
    <row r="448" s="27" customFormat="1" x14ac:dyDescent="0.15"/>
    <row r="449" s="27" customFormat="1" x14ac:dyDescent="0.15"/>
    <row r="450" s="27" customFormat="1" x14ac:dyDescent="0.15"/>
    <row r="451" s="27" customFormat="1" x14ac:dyDescent="0.15"/>
    <row r="452" s="27" customFormat="1" x14ac:dyDescent="0.15"/>
    <row r="453" s="27" customFormat="1" x14ac:dyDescent="0.15"/>
    <row r="454" s="27" customFormat="1" x14ac:dyDescent="0.15"/>
    <row r="455" s="27" customFormat="1" x14ac:dyDescent="0.15"/>
    <row r="456" s="27" customFormat="1" x14ac:dyDescent="0.15"/>
    <row r="457" s="27" customFormat="1" x14ac:dyDescent="0.15"/>
    <row r="458" s="27" customFormat="1" x14ac:dyDescent="0.15"/>
    <row r="459" s="27" customFormat="1" x14ac:dyDescent="0.15"/>
    <row r="460" s="27" customFormat="1" x14ac:dyDescent="0.15"/>
    <row r="461" s="27" customFormat="1" x14ac:dyDescent="0.15"/>
    <row r="462" s="27" customFormat="1" x14ac:dyDescent="0.15"/>
    <row r="463" s="27" customFormat="1" x14ac:dyDescent="0.15"/>
    <row r="464" s="27" customFormat="1" x14ac:dyDescent="0.15"/>
    <row r="465" s="27" customFormat="1" x14ac:dyDescent="0.15"/>
    <row r="466" s="27" customFormat="1" x14ac:dyDescent="0.15"/>
    <row r="467" s="27" customFormat="1" x14ac:dyDescent="0.15"/>
    <row r="468" s="27" customFormat="1" x14ac:dyDescent="0.15"/>
    <row r="469" s="27" customFormat="1" x14ac:dyDescent="0.15"/>
    <row r="470" s="27" customFormat="1" x14ac:dyDescent="0.15"/>
    <row r="471" s="27" customFormat="1" x14ac:dyDescent="0.15"/>
    <row r="472" s="27" customFormat="1" x14ac:dyDescent="0.15"/>
    <row r="473" s="27" customFormat="1" x14ac:dyDescent="0.15"/>
    <row r="474" s="27" customFormat="1" x14ac:dyDescent="0.15"/>
    <row r="475" s="27" customFormat="1" x14ac:dyDescent="0.15"/>
    <row r="476" s="27" customFormat="1" x14ac:dyDescent="0.15"/>
    <row r="477" s="27" customFormat="1" x14ac:dyDescent="0.15"/>
    <row r="478" s="27" customFormat="1" x14ac:dyDescent="0.15"/>
    <row r="479" s="27" customFormat="1" x14ac:dyDescent="0.15"/>
    <row r="480" s="27" customFormat="1" x14ac:dyDescent="0.15"/>
    <row r="481" s="27" customFormat="1" x14ac:dyDescent="0.15"/>
    <row r="482" s="27" customFormat="1" x14ac:dyDescent="0.15"/>
    <row r="483" s="27" customFormat="1" x14ac:dyDescent="0.15"/>
    <row r="484" s="27" customFormat="1" x14ac:dyDescent="0.15"/>
    <row r="485" s="27" customFormat="1" x14ac:dyDescent="0.15"/>
    <row r="486" s="27" customFormat="1" x14ac:dyDescent="0.15"/>
    <row r="487" s="27" customFormat="1" x14ac:dyDescent="0.15"/>
    <row r="488" s="27" customFormat="1" x14ac:dyDescent="0.15"/>
    <row r="489" s="27" customFormat="1" x14ac:dyDescent="0.15"/>
    <row r="490" s="27" customFormat="1" x14ac:dyDescent="0.15"/>
    <row r="491" s="27" customFormat="1" x14ac:dyDescent="0.15"/>
    <row r="492" s="27" customFormat="1" x14ac:dyDescent="0.15"/>
    <row r="493" s="27" customFormat="1" x14ac:dyDescent="0.15"/>
    <row r="494" s="27" customFormat="1" x14ac:dyDescent="0.15"/>
    <row r="495" s="27" customFormat="1" x14ac:dyDescent="0.15"/>
    <row r="496" s="27" customFormat="1" x14ac:dyDescent="0.15"/>
    <row r="497" s="27" customFormat="1" x14ac:dyDescent="0.15"/>
    <row r="498" s="27" customFormat="1" x14ac:dyDescent="0.15"/>
    <row r="499" s="27" customFormat="1" x14ac:dyDescent="0.15"/>
    <row r="500" s="27" customFormat="1" x14ac:dyDescent="0.15"/>
    <row r="501" s="27" customFormat="1" x14ac:dyDescent="0.15"/>
    <row r="502" s="27" customFormat="1" x14ac:dyDescent="0.15"/>
    <row r="503" s="27" customFormat="1" x14ac:dyDescent="0.15"/>
    <row r="504" s="27" customFormat="1" x14ac:dyDescent="0.15"/>
    <row r="505" s="27" customFormat="1" x14ac:dyDescent="0.15"/>
    <row r="506" s="27" customFormat="1" x14ac:dyDescent="0.15"/>
    <row r="507" s="27" customFormat="1" x14ac:dyDescent="0.15"/>
    <row r="508" s="27" customFormat="1" x14ac:dyDescent="0.15"/>
    <row r="509" s="27" customFormat="1" x14ac:dyDescent="0.15"/>
    <row r="510" s="27" customFormat="1" x14ac:dyDescent="0.15"/>
    <row r="511" s="27" customFormat="1" x14ac:dyDescent="0.15"/>
    <row r="512" s="27" customFormat="1" x14ac:dyDescent="0.15"/>
    <row r="513" s="27" customFormat="1" x14ac:dyDescent="0.15"/>
    <row r="514" s="27" customFormat="1" x14ac:dyDescent="0.15"/>
    <row r="515" s="27" customFormat="1" x14ac:dyDescent="0.15"/>
    <row r="516" s="27" customFormat="1" x14ac:dyDescent="0.15"/>
    <row r="517" s="27" customFormat="1" x14ac:dyDescent="0.15"/>
    <row r="518" s="27" customFormat="1" x14ac:dyDescent="0.15"/>
    <row r="519" s="27" customFormat="1" x14ac:dyDescent="0.15"/>
    <row r="520" s="27" customFormat="1" x14ac:dyDescent="0.15"/>
    <row r="521" s="27" customFormat="1" x14ac:dyDescent="0.15"/>
    <row r="522" s="27" customFormat="1" x14ac:dyDescent="0.15"/>
    <row r="523" s="27" customFormat="1" x14ac:dyDescent="0.15"/>
    <row r="524" s="27" customFormat="1" x14ac:dyDescent="0.15"/>
    <row r="525" s="27" customFormat="1" x14ac:dyDescent="0.15"/>
    <row r="526" s="27" customFormat="1" x14ac:dyDescent="0.15"/>
    <row r="527" s="27" customFormat="1" x14ac:dyDescent="0.15"/>
    <row r="528" s="27" customFormat="1" x14ac:dyDescent="0.15"/>
    <row r="529" s="27" customFormat="1" x14ac:dyDescent="0.15"/>
    <row r="530" s="27" customFormat="1" x14ac:dyDescent="0.15"/>
    <row r="531" s="27" customFormat="1" x14ac:dyDescent="0.15"/>
    <row r="532" s="27" customFormat="1" x14ac:dyDescent="0.15"/>
    <row r="533" s="27" customFormat="1" x14ac:dyDescent="0.15"/>
    <row r="534" s="27" customFormat="1" x14ac:dyDescent="0.15"/>
    <row r="535" s="27" customFormat="1" x14ac:dyDescent="0.15"/>
    <row r="536" s="27" customFormat="1" x14ac:dyDescent="0.15"/>
    <row r="537" s="27" customFormat="1" x14ac:dyDescent="0.15"/>
    <row r="538" s="27" customFormat="1" x14ac:dyDescent="0.15"/>
    <row r="539" s="27" customFormat="1" x14ac:dyDescent="0.15"/>
    <row r="540" s="27" customFormat="1" x14ac:dyDescent="0.15"/>
    <row r="541" s="27" customFormat="1" x14ac:dyDescent="0.15"/>
    <row r="542" s="27" customFormat="1" x14ac:dyDescent="0.15"/>
    <row r="543" s="27" customFormat="1" x14ac:dyDescent="0.15"/>
    <row r="544" s="27" customFormat="1" x14ac:dyDescent="0.15"/>
    <row r="545" s="27" customFormat="1" x14ac:dyDescent="0.15"/>
    <row r="546" s="27" customFormat="1" x14ac:dyDescent="0.15"/>
    <row r="547" s="27" customFormat="1" x14ac:dyDescent="0.15"/>
    <row r="548" s="27" customFormat="1" x14ac:dyDescent="0.15"/>
    <row r="549" s="27" customFormat="1" x14ac:dyDescent="0.15"/>
    <row r="550" s="27" customFormat="1" x14ac:dyDescent="0.15"/>
    <row r="551" s="27" customFormat="1" x14ac:dyDescent="0.15"/>
    <row r="552" s="27" customFormat="1" x14ac:dyDescent="0.15"/>
    <row r="553" s="27" customFormat="1" x14ac:dyDescent="0.15"/>
    <row r="554" s="27" customFormat="1" x14ac:dyDescent="0.15"/>
    <row r="555" s="27" customFormat="1" x14ac:dyDescent="0.15"/>
    <row r="556" s="27" customFormat="1" x14ac:dyDescent="0.15"/>
    <row r="557" s="27" customFormat="1" x14ac:dyDescent="0.15"/>
    <row r="558" s="27" customFormat="1" x14ac:dyDescent="0.15"/>
    <row r="559" s="27" customFormat="1" x14ac:dyDescent="0.15"/>
    <row r="560" s="27" customFormat="1" x14ac:dyDescent="0.15"/>
    <row r="561" s="27" customFormat="1" x14ac:dyDescent="0.15"/>
    <row r="562" s="27" customFormat="1" x14ac:dyDescent="0.15"/>
    <row r="563" s="27" customFormat="1" x14ac:dyDescent="0.15"/>
    <row r="564" s="27" customFormat="1" x14ac:dyDescent="0.15"/>
    <row r="565" s="27" customFormat="1" x14ac:dyDescent="0.15"/>
    <row r="566" s="27" customFormat="1" x14ac:dyDescent="0.15"/>
    <row r="567" s="27" customFormat="1" x14ac:dyDescent="0.15"/>
    <row r="568" s="27" customFormat="1" x14ac:dyDescent="0.15"/>
    <row r="569" s="27" customFormat="1" x14ac:dyDescent="0.15"/>
    <row r="570" s="27" customFormat="1" x14ac:dyDescent="0.15"/>
    <row r="571" s="27" customFormat="1" x14ac:dyDescent="0.15"/>
    <row r="572" s="27" customFormat="1" x14ac:dyDescent="0.15"/>
    <row r="573" s="27" customFormat="1" x14ac:dyDescent="0.15"/>
    <row r="574" s="27" customFormat="1" x14ac:dyDescent="0.15"/>
    <row r="575" s="27" customFormat="1" x14ac:dyDescent="0.15"/>
    <row r="576" s="27" customFormat="1" x14ac:dyDescent="0.15"/>
    <row r="577" s="27" customFormat="1" x14ac:dyDescent="0.15"/>
    <row r="578" s="27" customFormat="1" x14ac:dyDescent="0.15"/>
    <row r="579" s="27" customFormat="1" x14ac:dyDescent="0.15"/>
    <row r="580" s="27" customFormat="1" x14ac:dyDescent="0.15"/>
    <row r="581" s="27" customFormat="1" x14ac:dyDescent="0.15"/>
    <row r="582" s="27" customFormat="1" x14ac:dyDescent="0.15"/>
    <row r="583" s="27" customFormat="1" x14ac:dyDescent="0.15"/>
    <row r="584" s="27" customFormat="1" x14ac:dyDescent="0.15"/>
    <row r="585" s="27" customFormat="1" x14ac:dyDescent="0.15"/>
    <row r="586" s="27" customFormat="1" x14ac:dyDescent="0.15"/>
    <row r="587" s="27" customFormat="1" x14ac:dyDescent="0.15"/>
    <row r="588" s="27" customFormat="1" x14ac:dyDescent="0.15"/>
    <row r="589" s="27" customFormat="1" x14ac:dyDescent="0.15"/>
    <row r="590" s="27" customFormat="1" x14ac:dyDescent="0.15"/>
    <row r="591" s="27" customFormat="1" x14ac:dyDescent="0.15"/>
    <row r="592" s="27" customFormat="1" x14ac:dyDescent="0.15"/>
    <row r="593" s="27" customFormat="1" x14ac:dyDescent="0.15"/>
    <row r="594" s="27" customFormat="1" x14ac:dyDescent="0.15"/>
    <row r="595" s="27" customFormat="1" x14ac:dyDescent="0.15"/>
    <row r="596" s="27" customFormat="1" x14ac:dyDescent="0.15"/>
    <row r="597" s="27" customFormat="1" x14ac:dyDescent="0.15"/>
    <row r="598" s="27" customFormat="1" x14ac:dyDescent="0.15"/>
    <row r="599" s="27" customFormat="1" x14ac:dyDescent="0.15"/>
    <row r="600" s="27" customFormat="1" x14ac:dyDescent="0.15"/>
    <row r="601" s="27" customFormat="1" x14ac:dyDescent="0.15"/>
    <row r="602" s="27" customFormat="1" x14ac:dyDescent="0.15"/>
    <row r="603" s="27" customFormat="1" x14ac:dyDescent="0.15"/>
    <row r="604" s="27" customFormat="1" x14ac:dyDescent="0.15"/>
    <row r="605" s="27" customFormat="1" x14ac:dyDescent="0.15"/>
    <row r="606" s="27" customFormat="1" x14ac:dyDescent="0.15"/>
    <row r="607" s="27" customFormat="1" x14ac:dyDescent="0.15"/>
    <row r="608" s="27" customFormat="1" x14ac:dyDescent="0.15"/>
    <row r="609" s="27" customFormat="1" x14ac:dyDescent="0.15"/>
    <row r="610" s="27" customFormat="1" x14ac:dyDescent="0.15"/>
    <row r="611" s="27" customFormat="1" x14ac:dyDescent="0.15"/>
    <row r="612" s="27" customFormat="1" x14ac:dyDescent="0.15"/>
    <row r="613" s="27" customFormat="1" x14ac:dyDescent="0.15"/>
    <row r="614" s="27" customFormat="1" x14ac:dyDescent="0.15"/>
    <row r="615" s="27" customFormat="1" x14ac:dyDescent="0.15"/>
    <row r="616" s="27" customFormat="1" x14ac:dyDescent="0.15"/>
    <row r="617" s="27" customFormat="1" x14ac:dyDescent="0.15"/>
    <row r="618" s="27" customFormat="1" x14ac:dyDescent="0.15"/>
    <row r="619" s="27" customFormat="1" x14ac:dyDescent="0.15"/>
    <row r="620" s="27" customFormat="1" x14ac:dyDescent="0.15"/>
    <row r="621" s="27" customFormat="1" x14ac:dyDescent="0.15"/>
    <row r="622" s="27" customFormat="1" x14ac:dyDescent="0.15"/>
    <row r="623" s="27" customFormat="1" x14ac:dyDescent="0.15"/>
    <row r="624" s="27" customFormat="1" x14ac:dyDescent="0.15"/>
    <row r="625" s="27" customFormat="1" x14ac:dyDescent="0.15"/>
    <row r="626" s="27" customFormat="1" x14ac:dyDescent="0.15"/>
    <row r="627" s="27" customFormat="1" x14ac:dyDescent="0.15"/>
    <row r="628" s="27" customFormat="1" x14ac:dyDescent="0.15"/>
    <row r="629" s="27" customFormat="1" x14ac:dyDescent="0.15"/>
    <row r="630" s="27" customFormat="1" x14ac:dyDescent="0.15"/>
    <row r="631" s="27" customFormat="1" x14ac:dyDescent="0.15"/>
    <row r="632" s="27" customFormat="1" x14ac:dyDescent="0.15"/>
    <row r="633" s="27" customFormat="1" x14ac:dyDescent="0.15"/>
    <row r="634" s="27" customFormat="1" x14ac:dyDescent="0.15"/>
    <row r="635" s="27" customFormat="1" x14ac:dyDescent="0.15"/>
    <row r="636" s="27" customFormat="1" x14ac:dyDescent="0.15"/>
    <row r="637" s="27" customFormat="1" x14ac:dyDescent="0.15"/>
    <row r="638" s="27" customFormat="1" x14ac:dyDescent="0.15"/>
    <row r="639" s="27" customFormat="1" x14ac:dyDescent="0.15"/>
    <row r="640" s="27" customFormat="1" x14ac:dyDescent="0.15"/>
    <row r="641" s="27" customFormat="1" x14ac:dyDescent="0.15"/>
    <row r="642" s="27" customFormat="1" x14ac:dyDescent="0.15"/>
    <row r="643" s="27" customFormat="1" x14ac:dyDescent="0.15"/>
    <row r="644" s="27" customFormat="1" x14ac:dyDescent="0.15"/>
    <row r="645" s="27" customFormat="1" x14ac:dyDescent="0.15"/>
    <row r="646" s="27" customFormat="1" x14ac:dyDescent="0.15"/>
    <row r="647" s="27" customFormat="1" x14ac:dyDescent="0.15"/>
    <row r="648" s="27" customFormat="1" x14ac:dyDescent="0.15"/>
    <row r="649" s="27" customFormat="1" x14ac:dyDescent="0.15"/>
    <row r="650" s="27" customFormat="1" x14ac:dyDescent="0.15"/>
    <row r="651" s="27" customFormat="1" x14ac:dyDescent="0.15"/>
    <row r="652" s="27" customFormat="1" x14ac:dyDescent="0.15"/>
    <row r="653" s="27" customFormat="1" x14ac:dyDescent="0.15"/>
    <row r="654" s="27" customFormat="1" x14ac:dyDescent="0.15"/>
    <row r="655" s="27" customFormat="1" x14ac:dyDescent="0.15"/>
    <row r="656" s="27" customFormat="1" x14ac:dyDescent="0.15"/>
    <row r="657" s="27" customFormat="1" x14ac:dyDescent="0.15"/>
    <row r="658" s="27" customFormat="1" x14ac:dyDescent="0.15"/>
    <row r="659" s="27" customFormat="1" x14ac:dyDescent="0.15"/>
    <row r="660" s="27" customFormat="1" x14ac:dyDescent="0.15"/>
    <row r="661" s="27" customFormat="1" x14ac:dyDescent="0.15"/>
    <row r="662" s="27" customFormat="1" x14ac:dyDescent="0.15"/>
    <row r="663" s="27" customFormat="1" x14ac:dyDescent="0.15"/>
    <row r="664" s="27" customFormat="1" x14ac:dyDescent="0.15"/>
    <row r="665" s="27" customFormat="1" x14ac:dyDescent="0.15"/>
    <row r="666" s="27" customFormat="1" x14ac:dyDescent="0.15"/>
    <row r="667" s="27" customFormat="1" x14ac:dyDescent="0.15"/>
    <row r="668" s="27" customFormat="1" x14ac:dyDescent="0.15"/>
    <row r="669" s="27" customFormat="1" x14ac:dyDescent="0.15"/>
    <row r="670" s="27" customFormat="1" x14ac:dyDescent="0.15"/>
    <row r="671" s="27" customFormat="1" x14ac:dyDescent="0.15"/>
    <row r="672" s="27" customFormat="1" x14ac:dyDescent="0.15"/>
    <row r="673" s="27" customFormat="1" x14ac:dyDescent="0.15"/>
    <row r="674" s="27" customFormat="1" x14ac:dyDescent="0.15"/>
    <row r="675" s="27" customFormat="1" x14ac:dyDescent="0.15"/>
    <row r="676" s="27" customFormat="1" x14ac:dyDescent="0.15"/>
    <row r="677" s="27" customFormat="1" x14ac:dyDescent="0.15"/>
    <row r="678" s="27" customFormat="1" x14ac:dyDescent="0.15"/>
    <row r="679" s="27" customFormat="1" x14ac:dyDescent="0.15"/>
    <row r="680" s="27" customFormat="1" x14ac:dyDescent="0.15"/>
    <row r="681" s="27" customFormat="1" x14ac:dyDescent="0.15"/>
    <row r="682" s="27" customFormat="1" x14ac:dyDescent="0.15"/>
    <row r="683" s="27" customFormat="1" x14ac:dyDescent="0.15"/>
    <row r="684" s="27" customFormat="1" x14ac:dyDescent="0.15"/>
    <row r="685" s="27" customFormat="1" x14ac:dyDescent="0.15"/>
    <row r="686" s="27" customFormat="1" x14ac:dyDescent="0.15"/>
    <row r="687" s="27" customFormat="1" x14ac:dyDescent="0.15"/>
    <row r="688" s="27" customFormat="1" x14ac:dyDescent="0.15"/>
    <row r="689" s="27" customFormat="1" x14ac:dyDescent="0.15"/>
    <row r="690" s="27" customFormat="1" x14ac:dyDescent="0.15"/>
    <row r="691" s="27" customFormat="1" x14ac:dyDescent="0.15"/>
    <row r="692" s="27" customFormat="1" x14ac:dyDescent="0.15"/>
    <row r="693" s="27" customFormat="1" x14ac:dyDescent="0.15"/>
    <row r="694" s="27" customFormat="1" x14ac:dyDescent="0.15"/>
    <row r="695" s="27" customFormat="1" x14ac:dyDescent="0.15"/>
    <row r="696" s="27" customFormat="1" x14ac:dyDescent="0.15"/>
    <row r="697" s="27" customFormat="1" x14ac:dyDescent="0.15"/>
    <row r="698" s="27" customFormat="1" x14ac:dyDescent="0.15"/>
    <row r="699" s="27" customFormat="1" x14ac:dyDescent="0.15"/>
    <row r="700" s="27" customFormat="1" x14ac:dyDescent="0.15"/>
    <row r="701" s="27" customFormat="1" x14ac:dyDescent="0.15"/>
    <row r="702" s="27" customFormat="1" x14ac:dyDescent="0.15"/>
    <row r="703" s="27" customFormat="1" x14ac:dyDescent="0.15"/>
    <row r="704" s="27" customFormat="1" x14ac:dyDescent="0.15"/>
    <row r="705" s="27" customFormat="1" x14ac:dyDescent="0.15"/>
    <row r="706" s="27" customFormat="1" x14ac:dyDescent="0.15"/>
    <row r="707" s="27" customFormat="1" x14ac:dyDescent="0.15"/>
    <row r="708" s="27" customFormat="1" x14ac:dyDescent="0.15"/>
    <row r="709" s="27" customFormat="1" x14ac:dyDescent="0.15"/>
    <row r="710" s="27" customFormat="1" x14ac:dyDescent="0.15"/>
    <row r="711" s="27" customFormat="1" x14ac:dyDescent="0.15"/>
    <row r="712" s="27" customFormat="1" x14ac:dyDescent="0.15"/>
    <row r="713" s="27" customFormat="1" x14ac:dyDescent="0.15"/>
    <row r="714" s="27" customFormat="1" x14ac:dyDescent="0.15"/>
    <row r="715" s="27" customFormat="1" x14ac:dyDescent="0.15"/>
    <row r="716" s="27" customFormat="1" x14ac:dyDescent="0.15"/>
    <row r="717" s="27" customFormat="1" x14ac:dyDescent="0.15"/>
    <row r="718" s="27" customFormat="1" x14ac:dyDescent="0.15"/>
    <row r="719" s="27" customFormat="1" x14ac:dyDescent="0.15"/>
    <row r="720" s="27" customFormat="1" x14ac:dyDescent="0.15"/>
    <row r="721" s="27" customFormat="1" x14ac:dyDescent="0.15"/>
    <row r="722" s="27" customFormat="1" x14ac:dyDescent="0.15"/>
    <row r="723" s="27" customFormat="1" x14ac:dyDescent="0.15"/>
    <row r="724" s="27" customFormat="1" x14ac:dyDescent="0.15"/>
    <row r="725" s="27" customFormat="1" x14ac:dyDescent="0.15"/>
    <row r="726" s="27" customFormat="1" x14ac:dyDescent="0.15"/>
    <row r="727" s="27" customFormat="1" x14ac:dyDescent="0.15"/>
    <row r="728" s="27" customFormat="1" x14ac:dyDescent="0.15"/>
    <row r="729" s="27" customFormat="1" x14ac:dyDescent="0.15"/>
    <row r="730" s="27" customFormat="1" x14ac:dyDescent="0.15"/>
    <row r="731" s="27" customFormat="1" x14ac:dyDescent="0.15"/>
    <row r="732" s="27" customFormat="1" x14ac:dyDescent="0.15"/>
    <row r="733" s="27" customFormat="1" x14ac:dyDescent="0.15"/>
    <row r="734" s="27" customFormat="1" x14ac:dyDescent="0.15"/>
    <row r="735" s="27" customFormat="1" x14ac:dyDescent="0.15"/>
    <row r="736" s="27" customFormat="1" x14ac:dyDescent="0.15"/>
    <row r="737" s="27" customFormat="1" x14ac:dyDescent="0.15"/>
    <row r="738" s="27" customFormat="1" x14ac:dyDescent="0.15"/>
    <row r="739" s="27" customFormat="1" x14ac:dyDescent="0.15"/>
    <row r="740" s="27" customFormat="1" x14ac:dyDescent="0.15"/>
    <row r="741" s="27" customFormat="1" x14ac:dyDescent="0.15"/>
    <row r="742" s="27" customFormat="1" x14ac:dyDescent="0.15"/>
    <row r="743" s="27" customFormat="1" x14ac:dyDescent="0.15"/>
    <row r="744" s="27" customFormat="1" x14ac:dyDescent="0.15"/>
    <row r="745" s="27" customFormat="1" x14ac:dyDescent="0.15"/>
    <row r="746" s="27" customFormat="1" x14ac:dyDescent="0.15"/>
    <row r="747" s="27" customFormat="1" x14ac:dyDescent="0.15"/>
    <row r="748" s="27" customFormat="1" x14ac:dyDescent="0.15"/>
    <row r="749" s="27" customFormat="1" x14ac:dyDescent="0.15"/>
    <row r="750" s="27" customFormat="1" x14ac:dyDescent="0.15"/>
    <row r="751" s="27" customFormat="1" x14ac:dyDescent="0.15"/>
    <row r="752" s="27" customFormat="1" x14ac:dyDescent="0.15"/>
    <row r="753" s="27" customFormat="1" x14ac:dyDescent="0.15"/>
    <row r="754" s="27" customFormat="1" x14ac:dyDescent="0.15"/>
    <row r="755" s="27" customFormat="1" x14ac:dyDescent="0.15"/>
    <row r="756" s="27" customFormat="1" x14ac:dyDescent="0.15"/>
    <row r="757" s="27" customFormat="1" x14ac:dyDescent="0.15"/>
    <row r="758" s="27" customFormat="1" x14ac:dyDescent="0.15"/>
    <row r="759" s="27" customFormat="1" x14ac:dyDescent="0.15"/>
    <row r="760" s="27" customFormat="1" x14ac:dyDescent="0.15"/>
  </sheetData>
  <mergeCells count="37">
    <mergeCell ref="F1:J1"/>
    <mergeCell ref="F2:J2"/>
    <mergeCell ref="F3:J3"/>
    <mergeCell ref="F4:J4"/>
    <mergeCell ref="B5:J6"/>
    <mergeCell ref="P43:P55"/>
    <mergeCell ref="C38:L38"/>
    <mergeCell ref="D40:E40"/>
    <mergeCell ref="D41:E41"/>
    <mergeCell ref="I41:J41"/>
    <mergeCell ref="I40:J40"/>
    <mergeCell ref="O6:U6"/>
    <mergeCell ref="P7:U7"/>
    <mergeCell ref="P8:U8"/>
    <mergeCell ref="P9:U9"/>
    <mergeCell ref="K28:L28"/>
    <mergeCell ref="C15:L15"/>
    <mergeCell ref="K17:L17"/>
    <mergeCell ref="P24:P36"/>
    <mergeCell ref="K23:L23"/>
    <mergeCell ref="K24:L24"/>
    <mergeCell ref="K25:L25"/>
    <mergeCell ref="K26:L26"/>
    <mergeCell ref="K27:L27"/>
    <mergeCell ref="C57:E57"/>
    <mergeCell ref="H57:I57"/>
    <mergeCell ref="H58:I58"/>
    <mergeCell ref="G20:H20"/>
    <mergeCell ref="J20:K20"/>
    <mergeCell ref="K33:L33"/>
    <mergeCell ref="K34:L34"/>
    <mergeCell ref="K35:L35"/>
    <mergeCell ref="K36:L36"/>
    <mergeCell ref="K29:L29"/>
    <mergeCell ref="K30:L30"/>
    <mergeCell ref="K31:L31"/>
    <mergeCell ref="K32:L32"/>
  </mergeCells>
  <phoneticPr fontId="39" type="noConversion"/>
  <conditionalFormatting sqref="D25:D36">
    <cfRule type="expression" dxfId="6" priority="7">
      <formula>C25&lt;&gt;""</formula>
    </cfRule>
  </conditionalFormatting>
  <conditionalFormatting sqref="D27:D36">
    <cfRule type="expression" dxfId="5" priority="6">
      <formula>AND(C27="",D27&lt;&gt;"")</formula>
    </cfRule>
  </conditionalFormatting>
  <conditionalFormatting sqref="D43:D55">
    <cfRule type="expression" dxfId="4" priority="5">
      <formula>ISNUMBER(D25)</formula>
    </cfRule>
  </conditionalFormatting>
  <conditionalFormatting sqref="F25:F36">
    <cfRule type="expression" dxfId="3" priority="9">
      <formula>ISNUMBER(C25)</formula>
    </cfRule>
  </conditionalFormatting>
  <conditionalFormatting sqref="F26:F36">
    <cfRule type="expression" dxfId="2" priority="8">
      <formula>OR(AND(C26="ground",F26&lt;&gt;""),AND(C26="",F26&lt;&gt;""))</formula>
    </cfRule>
  </conditionalFormatting>
  <conditionalFormatting sqref="I43:I55">
    <cfRule type="expression" dxfId="1" priority="3">
      <formula>ISNUMBER(I25)</formula>
    </cfRule>
  </conditionalFormatting>
  <conditionalFormatting sqref="J43:J55">
    <cfRule type="expression" dxfId="0" priority="1">
      <formula>ISNUMBER(I25)</formula>
    </cfRule>
  </conditionalFormatting>
  <printOptions horizontalCentered="1"/>
  <pageMargins left="0.7" right="0.7" top="0.75" bottom="0.75" header="0.3" footer="0.3"/>
  <pageSetup scale="75" orientation="portrait" r:id="rId1"/>
  <headerFooter alignWithMargins="0"/>
  <ignoredErrors>
    <ignoredError sqref="G43:G46" evalError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BZ111"/>
  <sheetViews>
    <sheetView zoomScaleNormal="100" zoomScaleSheetLayoutView="85" workbookViewId="0">
      <selection activeCell="O21" sqref="O21"/>
    </sheetView>
  </sheetViews>
  <sheetFormatPr defaultColWidth="9.140625" defaultRowHeight="12.75" x14ac:dyDescent="0.2"/>
  <cols>
    <col min="1" max="11" width="11.42578125" style="2" customWidth="1"/>
    <col min="12" max="12" width="9.140625" style="27"/>
    <col min="13" max="18" width="11.42578125" style="27" customWidth="1"/>
    <col min="19" max="22" width="8.5703125" style="27" customWidth="1"/>
    <col min="23" max="23" width="15.5703125" style="111" bestFit="1" customWidth="1"/>
    <col min="24" max="78" width="9.140625" style="111"/>
    <col min="79" max="16384" width="9.140625" style="2"/>
  </cols>
  <sheetData>
    <row r="1" spans="1:24" ht="15" customHeight="1" x14ac:dyDescent="0.25">
      <c r="A1" s="22"/>
      <c r="B1" s="23"/>
      <c r="C1" s="197" t="s">
        <v>131</v>
      </c>
      <c r="D1" s="331" t="str">
        <f>+IF('Site Ground Motions'!E1="","",'Site Ground Motions'!E1)</f>
        <v/>
      </c>
      <c r="E1" s="332"/>
      <c r="F1" s="332"/>
      <c r="G1" s="332"/>
      <c r="H1" s="333"/>
      <c r="I1" s="219" t="s">
        <v>132</v>
      </c>
      <c r="J1" s="206" t="str">
        <f>+IF('Site Ground Motions'!I1="","",'Site Ground Motions'!I1)</f>
        <v/>
      </c>
      <c r="K1" s="198" t="s">
        <v>133</v>
      </c>
      <c r="L1" s="24"/>
      <c r="M1" s="25" t="s">
        <v>134</v>
      </c>
      <c r="N1" s="26"/>
      <c r="O1" s="24"/>
      <c r="P1" s="24"/>
      <c r="Q1" s="24"/>
      <c r="R1" s="24"/>
      <c r="S1" s="24"/>
      <c r="T1" s="24"/>
      <c r="U1" s="24"/>
      <c r="V1" s="24"/>
      <c r="W1" s="204" t="s">
        <v>178</v>
      </c>
      <c r="X1" s="205">
        <f>'Site Ground Motions'!X1</f>
        <v>2.1</v>
      </c>
    </row>
    <row r="2" spans="1:24" ht="15" customHeight="1" x14ac:dyDescent="0.2">
      <c r="A2" s="28"/>
      <c r="B2" s="29"/>
      <c r="C2" s="197" t="s">
        <v>135</v>
      </c>
      <c r="D2" s="331" t="str">
        <f>+IF('Site Ground Motions'!E2="","",'Site Ground Motions'!E2)</f>
        <v/>
      </c>
      <c r="E2" s="332"/>
      <c r="F2" s="332"/>
      <c r="G2" s="332"/>
      <c r="H2" s="333"/>
      <c r="I2" s="219" t="s">
        <v>136</v>
      </c>
      <c r="J2" s="220" t="str">
        <f>+IF('Site Ground Motions'!I2="","",'Site Ground Motions'!I2)</f>
        <v/>
      </c>
      <c r="K2" s="201" t="s">
        <v>216</v>
      </c>
      <c r="L2" s="24"/>
      <c r="M2" s="26" t="s">
        <v>137</v>
      </c>
      <c r="N2" s="26"/>
      <c r="O2" s="24"/>
      <c r="P2" s="24"/>
      <c r="Q2" s="24"/>
      <c r="R2" s="24"/>
      <c r="S2" s="24"/>
      <c r="T2" s="24"/>
      <c r="U2" s="24"/>
      <c r="V2" s="24"/>
      <c r="W2" s="204" t="s">
        <v>179</v>
      </c>
      <c r="X2" s="215">
        <f>'Site Ground Motions'!X2</f>
        <v>45201</v>
      </c>
    </row>
    <row r="3" spans="1:24" ht="15" customHeight="1" x14ac:dyDescent="0.2">
      <c r="A3" s="28"/>
      <c r="B3" s="29"/>
      <c r="C3" s="197" t="s">
        <v>138</v>
      </c>
      <c r="D3" s="331" t="str">
        <f>+IF('Site Ground Motions'!E3="","",'Site Ground Motions'!E3)</f>
        <v/>
      </c>
      <c r="E3" s="332"/>
      <c r="F3" s="332"/>
      <c r="G3" s="332"/>
      <c r="H3" s="333"/>
      <c r="I3" s="219" t="s">
        <v>139</v>
      </c>
      <c r="J3" s="206" t="str">
        <f>+IF('Site Ground Motions'!I3="","",'Site Ground Motions'!I3)</f>
        <v/>
      </c>
      <c r="K3" s="198" t="s">
        <v>140</v>
      </c>
      <c r="L3" s="24"/>
      <c r="M3" s="30"/>
      <c r="N3" s="30"/>
      <c r="O3" s="24"/>
      <c r="P3" s="24"/>
      <c r="Q3" s="24"/>
      <c r="R3" s="24"/>
      <c r="S3" s="24"/>
      <c r="T3" s="24"/>
      <c r="U3" s="24"/>
      <c r="V3" s="24"/>
    </row>
    <row r="4" spans="1:24" ht="15" customHeight="1" x14ac:dyDescent="0.2">
      <c r="A4" s="31"/>
      <c r="B4" s="32"/>
      <c r="C4" s="197" t="s">
        <v>141</v>
      </c>
      <c r="D4" s="331" t="s">
        <v>159</v>
      </c>
      <c r="E4" s="332"/>
      <c r="F4" s="332"/>
      <c r="G4" s="332"/>
      <c r="H4" s="333"/>
      <c r="I4" s="219" t="s">
        <v>136</v>
      </c>
      <c r="J4" s="206" t="str">
        <f>+IF('Site Ground Motions'!I4="","",'Site Ground Motions'!I4)</f>
        <v/>
      </c>
      <c r="K4" s="221" t="str">
        <f>+IF('Site Ground Motions'!J4="","",'Site Ground Motions'!J4)</f>
        <v/>
      </c>
      <c r="L4" s="24"/>
      <c r="M4" s="30"/>
      <c r="N4" s="30"/>
      <c r="O4" s="24"/>
      <c r="P4" s="24"/>
      <c r="Q4" s="24"/>
      <c r="R4" s="24"/>
      <c r="S4" s="24"/>
      <c r="T4" s="24"/>
      <c r="U4" s="24"/>
      <c r="V4" s="24"/>
    </row>
    <row r="5" spans="1:24" ht="15" customHeight="1" x14ac:dyDescent="0.2">
      <c r="A5" s="7"/>
      <c r="K5" s="8"/>
      <c r="L5" s="24"/>
      <c r="M5" s="34"/>
      <c r="N5" s="30"/>
      <c r="O5" s="24"/>
      <c r="P5" s="24"/>
      <c r="Q5" s="24"/>
      <c r="R5" s="24"/>
      <c r="S5" s="24"/>
      <c r="T5" s="24"/>
      <c r="U5" s="24"/>
      <c r="V5" s="24"/>
    </row>
    <row r="6" spans="1:24" ht="15" customHeight="1" x14ac:dyDescent="0.25">
      <c r="A6" s="7"/>
      <c r="K6" s="8"/>
      <c r="L6" s="24"/>
      <c r="M6" s="339" t="s">
        <v>164</v>
      </c>
      <c r="N6" s="339"/>
      <c r="O6" s="24"/>
      <c r="P6" s="24"/>
      <c r="Q6" s="24"/>
      <c r="R6" s="24"/>
      <c r="S6" s="24"/>
      <c r="T6" s="24"/>
      <c r="U6" s="24"/>
      <c r="V6" s="24"/>
    </row>
    <row r="7" spans="1:24" ht="15" customHeight="1" thickBot="1" x14ac:dyDescent="0.3">
      <c r="A7" s="45" t="s">
        <v>155</v>
      </c>
      <c r="B7" s="1"/>
      <c r="C7" s="1"/>
      <c r="D7" s="1"/>
      <c r="E7" s="1"/>
      <c r="F7" s="1"/>
      <c r="G7" s="1"/>
      <c r="I7" s="10"/>
      <c r="K7" s="8"/>
      <c r="L7" s="24"/>
      <c r="M7" s="68"/>
      <c r="N7" s="69" t="s">
        <v>165</v>
      </c>
      <c r="O7" s="24"/>
      <c r="P7" s="24"/>
      <c r="Q7" s="24"/>
      <c r="R7" s="24"/>
      <c r="S7" s="24"/>
      <c r="T7" s="24"/>
      <c r="U7" s="24"/>
      <c r="V7" s="24"/>
    </row>
    <row r="8" spans="1:24" ht="15" customHeight="1" x14ac:dyDescent="0.25">
      <c r="A8" s="97"/>
      <c r="B8" s="10"/>
      <c r="C8" s="10"/>
      <c r="D8" s="10"/>
      <c r="E8" s="10"/>
      <c r="F8" s="10"/>
      <c r="G8" s="10"/>
      <c r="H8" s="10"/>
      <c r="I8" s="10"/>
      <c r="J8" s="10"/>
      <c r="K8" s="179"/>
      <c r="L8" s="24"/>
      <c r="M8" s="38">
        <v>888</v>
      </c>
      <c r="N8" s="70" t="s">
        <v>166</v>
      </c>
      <c r="O8" s="24"/>
      <c r="P8" s="24"/>
      <c r="Q8" s="24"/>
      <c r="R8" s="24"/>
      <c r="S8" s="24"/>
      <c r="T8" s="24"/>
      <c r="U8" s="24"/>
      <c r="V8" s="24"/>
    </row>
    <row r="9" spans="1:24" ht="15" customHeight="1" x14ac:dyDescent="0.25">
      <c r="A9" s="97"/>
      <c r="B9" s="180"/>
      <c r="C9" s="81" t="s">
        <v>35</v>
      </c>
      <c r="D9" s="178">
        <f>+'Vertical Distribution'!E9</f>
        <v>2100.8365000000003</v>
      </c>
      <c r="E9" s="232"/>
      <c r="F9" s="238"/>
      <c r="G9" s="303"/>
      <c r="H9" s="10"/>
      <c r="I9" s="10"/>
      <c r="J9" s="10"/>
      <c r="K9" s="179"/>
      <c r="L9" s="24"/>
      <c r="M9" s="71">
        <v>1.05</v>
      </c>
      <c r="N9" s="70" t="s">
        <v>167</v>
      </c>
      <c r="O9" s="24"/>
      <c r="P9" s="24"/>
      <c r="Q9" s="24"/>
      <c r="R9" s="24"/>
      <c r="S9" s="24"/>
      <c r="T9" s="24"/>
      <c r="U9" s="24"/>
      <c r="V9" s="24"/>
    </row>
    <row r="10" spans="1:24" ht="15" customHeight="1" x14ac:dyDescent="0.2">
      <c r="A10" s="97"/>
      <c r="B10" s="232"/>
      <c r="C10" s="234"/>
      <c r="D10" s="290"/>
      <c r="E10" s="232"/>
      <c r="F10" s="81" t="s">
        <v>143</v>
      </c>
      <c r="G10" s="178">
        <f ca="1">+'Vertical Distribution'!I12</f>
        <v>218.87320516334364</v>
      </c>
      <c r="H10" s="10"/>
      <c r="I10" s="10"/>
      <c r="J10" s="10"/>
      <c r="K10" s="179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</row>
    <row r="11" spans="1:24" ht="15" customHeight="1" x14ac:dyDescent="0.2">
      <c r="A11" s="97"/>
      <c r="B11" s="10"/>
      <c r="C11" s="10"/>
      <c r="D11" s="10"/>
      <c r="E11" s="10"/>
      <c r="F11" s="10"/>
      <c r="G11" s="10"/>
      <c r="H11" s="10"/>
      <c r="I11" s="10"/>
      <c r="J11" s="10"/>
      <c r="K11" s="179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</row>
    <row r="12" spans="1:24" ht="15" customHeight="1" x14ac:dyDescent="0.3">
      <c r="A12" s="97"/>
      <c r="B12" s="11" t="s">
        <v>5</v>
      </c>
      <c r="C12" s="103">
        <f ca="1">'Site Ground Motions'!C21</f>
        <v>0.67719493333333336</v>
      </c>
      <c r="D12" s="10"/>
      <c r="E12" s="11" t="s">
        <v>88</v>
      </c>
      <c r="F12" s="98">
        <f>'Equivalent Lateral Forces'!D21</f>
        <v>1</v>
      </c>
      <c r="G12" s="10"/>
      <c r="H12" s="10"/>
      <c r="I12" s="10"/>
      <c r="J12" s="10"/>
      <c r="K12" s="179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</row>
    <row r="13" spans="1:24" ht="15" customHeight="1" x14ac:dyDescent="0.2">
      <c r="A13" s="97"/>
      <c r="B13" s="10"/>
      <c r="C13" s="10"/>
      <c r="D13" s="10"/>
      <c r="E13" s="10"/>
      <c r="F13" s="10"/>
      <c r="G13" s="10"/>
      <c r="H13" s="10"/>
      <c r="I13" s="10"/>
      <c r="J13" s="10"/>
      <c r="K13" s="179"/>
      <c r="L13" s="24"/>
      <c r="O13" s="24"/>
      <c r="P13" s="24"/>
      <c r="Q13" s="24"/>
      <c r="R13" s="24"/>
      <c r="S13" s="24"/>
      <c r="T13" s="24"/>
      <c r="U13" s="24"/>
      <c r="V13" s="24"/>
    </row>
    <row r="14" spans="1:24" ht="15" customHeight="1" x14ac:dyDescent="0.25">
      <c r="A14" s="97"/>
      <c r="B14" s="292" t="s">
        <v>187</v>
      </c>
      <c r="C14" s="232"/>
      <c r="D14" s="292" t="s">
        <v>190</v>
      </c>
      <c r="E14" s="10"/>
      <c r="F14" s="10"/>
      <c r="G14" s="10"/>
      <c r="H14" s="10"/>
      <c r="I14" s="10"/>
      <c r="J14" s="10"/>
      <c r="K14" s="179"/>
      <c r="L14" s="24"/>
      <c r="O14" s="24"/>
      <c r="P14" s="24"/>
      <c r="Q14" s="24"/>
      <c r="R14" s="24"/>
      <c r="S14" s="24"/>
      <c r="T14" s="24"/>
      <c r="U14" s="24"/>
      <c r="V14" s="24"/>
    </row>
    <row r="15" spans="1:24" ht="15" customHeight="1" x14ac:dyDescent="0.2">
      <c r="A15" s="97"/>
      <c r="B15" s="181">
        <f>SUM(B18:B28)</f>
        <v>2100.8365000000003</v>
      </c>
      <c r="C15" s="232"/>
      <c r="D15" s="181">
        <f ca="1">SUM(D18:D28)</f>
        <v>218.87320516334364</v>
      </c>
      <c r="E15" s="10"/>
      <c r="F15" s="10"/>
      <c r="G15" s="182" t="s">
        <v>98</v>
      </c>
      <c r="H15" s="182" t="s">
        <v>160</v>
      </c>
      <c r="I15" s="182" t="s">
        <v>161</v>
      </c>
      <c r="J15" s="10"/>
      <c r="K15" s="179"/>
      <c r="L15" s="37"/>
      <c r="M15" s="24"/>
      <c r="N15" s="24"/>
      <c r="O15" s="24"/>
      <c r="P15" s="24"/>
      <c r="Q15" s="24"/>
      <c r="R15" s="24"/>
      <c r="S15" s="24"/>
      <c r="T15" s="24"/>
      <c r="U15" s="24"/>
      <c r="V15" s="24"/>
    </row>
    <row r="16" spans="1:24" ht="15" customHeight="1" x14ac:dyDescent="0.2">
      <c r="A16" s="97"/>
      <c r="B16" s="10"/>
      <c r="C16" s="10"/>
      <c r="D16" s="10"/>
      <c r="E16" s="10"/>
      <c r="F16" s="10"/>
      <c r="G16" s="182" t="s">
        <v>99</v>
      </c>
      <c r="H16" s="182" t="s">
        <v>102</v>
      </c>
      <c r="I16" s="182" t="s">
        <v>103</v>
      </c>
      <c r="J16" s="182"/>
      <c r="K16" s="179"/>
      <c r="L16" s="37"/>
      <c r="M16" s="24"/>
      <c r="N16" s="24"/>
      <c r="O16" s="24"/>
      <c r="P16" s="24"/>
      <c r="Q16" s="24"/>
      <c r="R16" s="24"/>
      <c r="S16" s="24"/>
      <c r="T16" s="24"/>
      <c r="U16" s="24"/>
      <c r="V16" s="24"/>
    </row>
    <row r="17" spans="1:22" ht="15" customHeight="1" x14ac:dyDescent="0.3">
      <c r="A17" s="183" t="s">
        <v>27</v>
      </c>
      <c r="B17" s="12" t="s">
        <v>26</v>
      </c>
      <c r="C17" s="228" t="s">
        <v>187</v>
      </c>
      <c r="D17" s="228" t="s">
        <v>214</v>
      </c>
      <c r="E17" s="228" t="s">
        <v>190</v>
      </c>
      <c r="F17" s="228" t="s">
        <v>215</v>
      </c>
      <c r="G17" s="12" t="s">
        <v>47</v>
      </c>
      <c r="H17" s="12" t="s">
        <v>47</v>
      </c>
      <c r="I17" s="12" t="s">
        <v>47</v>
      </c>
      <c r="J17" s="9" t="s">
        <v>112</v>
      </c>
      <c r="K17" s="289" t="s">
        <v>211</v>
      </c>
      <c r="L17" s="305" t="s">
        <v>217</v>
      </c>
      <c r="M17" s="24"/>
      <c r="N17" s="24"/>
      <c r="O17" s="24"/>
      <c r="P17" s="24"/>
      <c r="Q17" s="24"/>
      <c r="R17" s="24"/>
      <c r="S17" s="24"/>
      <c r="T17" s="24"/>
      <c r="U17" s="24"/>
      <c r="V17" s="24"/>
    </row>
    <row r="18" spans="1:22" ht="15" customHeight="1" x14ac:dyDescent="0.2">
      <c r="A18" s="184" t="str">
        <f>+'Vertical Distribution'!C24</f>
        <v>Roof</v>
      </c>
      <c r="B18" s="296">
        <f>IF(A18="Ground","—",IF(A18="","",'Vertical Distribution'!F24))</f>
        <v>430.46499999999997</v>
      </c>
      <c r="C18" s="185">
        <f>B18</f>
        <v>430.46499999999997</v>
      </c>
      <c r="D18" s="185">
        <f ca="1">+'Vertical Distribution'!I24</f>
        <v>72.824218936006218</v>
      </c>
      <c r="E18" s="185">
        <f ca="1">D18</f>
        <v>72.824218936006218</v>
      </c>
      <c r="F18" s="230">
        <f ca="1">E18 / C18</f>
        <v>0.16917570287016651</v>
      </c>
      <c r="G18" s="185">
        <f ca="1">F18 * B18</f>
        <v>72.824218936006218</v>
      </c>
      <c r="H18" s="185">
        <f ca="1">0.2 * $C$12 * $F$12 * B18</f>
        <v>58.301743395466666</v>
      </c>
      <c r="I18" s="185">
        <f ca="1">0.4 * $C$12 * $F$12 * B18</f>
        <v>116.60348679093333</v>
      </c>
      <c r="J18" s="186">
        <f ca="1">IF(I18 &lt; MAX(G18, H18), I18, MAX(G18, H18))</f>
        <v>72.824218936006218</v>
      </c>
      <c r="K18" s="297">
        <f ca="1">J18/B18</f>
        <v>0.16917570287016651</v>
      </c>
      <c r="L18" s="37"/>
      <c r="M18" s="363" t="s">
        <v>212</v>
      </c>
      <c r="N18" s="24"/>
      <c r="O18" s="24"/>
      <c r="P18" s="24"/>
      <c r="Q18" s="24"/>
      <c r="R18" s="24"/>
      <c r="S18" s="24"/>
      <c r="T18" s="24"/>
      <c r="U18" s="24"/>
      <c r="V18" s="24"/>
    </row>
    <row r="19" spans="1:22" ht="15" customHeight="1" x14ac:dyDescent="0.2">
      <c r="A19" s="184">
        <f>+'Vertical Distribution'!C25</f>
        <v>4</v>
      </c>
      <c r="B19" s="185">
        <f>IF(A19="Ground","—",IF(A19="","",'Vertical Distribution'!F25))</f>
        <v>554.33450000000005</v>
      </c>
      <c r="C19" s="181">
        <f>IF(A19="Ground","—",IF(A19="","",C18 + B19))</f>
        <v>984.79950000000008</v>
      </c>
      <c r="D19" s="185">
        <f ca="1">IF(A19="Ground","—",IF(A19="","",'Vertical Distribution'!I25))</f>
        <v>71.714063094992355</v>
      </c>
      <c r="E19" s="181">
        <f ca="1">IF(A19="Ground","—",IF(A19="","",E18 + D19))</f>
        <v>144.53828203099857</v>
      </c>
      <c r="F19" s="230">
        <f ca="1">IF(A19="Ground","—",IF(A19="","",E19/C19))</f>
        <v>0.14676924798499447</v>
      </c>
      <c r="G19" s="185">
        <f ca="1">IF(A19="Ground","—",IF(A19="","",F19*B19))</f>
        <v>81.35925769713792</v>
      </c>
      <c r="H19" s="185">
        <f ca="1">IF(A19="Ground","—",IF(A19="","",0.2*$C$12*$F$12*B19))</f>
        <v>75.078502954373349</v>
      </c>
      <c r="I19" s="185">
        <f ca="1">IF(A19="Ground","—",IF(A19="","",0.4*$C$12*$F$12*B19))</f>
        <v>150.1570059087467</v>
      </c>
      <c r="J19" s="186">
        <f ca="1">IF(A19="Ground","—",IF(A19="","",IF(I19&lt;MAX(G19,H19),I19,MAX(G19,H19))))</f>
        <v>81.35925769713792</v>
      </c>
      <c r="K19" s="297">
        <f ca="1">IF(A19="Ground","—",IF(A19="","",J19/B19))</f>
        <v>0.14676924798499447</v>
      </c>
      <c r="L19" s="24"/>
      <c r="M19" s="363"/>
      <c r="N19" s="24"/>
      <c r="O19" s="24"/>
      <c r="P19" s="24"/>
      <c r="Q19" s="24"/>
      <c r="R19" s="24"/>
      <c r="S19" s="24"/>
      <c r="T19" s="24"/>
      <c r="U19" s="24"/>
      <c r="V19" s="24"/>
    </row>
    <row r="20" spans="1:22" ht="15" customHeight="1" x14ac:dyDescent="0.2">
      <c r="A20" s="184">
        <f>+'Vertical Distribution'!C26</f>
        <v>3</v>
      </c>
      <c r="B20" s="185">
        <f>IF(A20="Ground","—",IF(A20="","",'Vertical Distribution'!F26))</f>
        <v>556.17650000000003</v>
      </c>
      <c r="C20" s="181">
        <f t="shared" ref="C20:C30" si="0">IF(A20="Ground","—",IF(A20="","",C19 + B20))</f>
        <v>1540.9760000000001</v>
      </c>
      <c r="D20" s="185">
        <f ca="1">IF(A20="Ground","—",IF(A20="","",'Vertical Distribution'!I26))</f>
        <v>48.706214276755809</v>
      </c>
      <c r="E20" s="181">
        <f t="shared" ref="E20:E30" ca="1" si="1">IF(A20="Ground","—",IF(A20="","",E19 + D20))</f>
        <v>193.24449630775439</v>
      </c>
      <c r="F20" s="230">
        <f t="shared" ref="F20:F30" ca="1" si="2">IF(A20="Ground","—",IF(A20="","",E20/C20))</f>
        <v>0.12540396236395271</v>
      </c>
      <c r="G20" s="185">
        <f t="shared" ref="G20:G30" ca="1" si="3">IF(A20="Ground","—",IF(A20="","",F20*B20))</f>
        <v>69.746736873714951</v>
      </c>
      <c r="H20" s="185">
        <f t="shared" ref="H20:H30" ca="1" si="4">IF(A20="Ground","—",IF(A20="","",0.2*$C$12*$F$12*B20))</f>
        <v>75.327981567813339</v>
      </c>
      <c r="I20" s="185">
        <f t="shared" ref="I20:I30" ca="1" si="5">IF(A20="Ground","—",IF(A20="","",0.4*$C$12*$F$12*B20))</f>
        <v>150.65596313562668</v>
      </c>
      <c r="J20" s="186">
        <f t="shared" ref="J20:J30" ca="1" si="6">IF(A20="Ground","—",IF(A20="","",IF(I20&lt;MAX(G20,H20),I20,MAX(G20,H20))))</f>
        <v>75.327981567813339</v>
      </c>
      <c r="K20" s="297">
        <f t="shared" ref="K20:K30" ca="1" si="7">IF(A20="Ground","—",IF(A20="","",J20/B20))</f>
        <v>0.13543898666666668</v>
      </c>
      <c r="L20" s="24"/>
      <c r="M20" s="363"/>
      <c r="N20" s="24"/>
      <c r="O20" s="24"/>
      <c r="P20" s="24"/>
      <c r="Q20" s="24"/>
      <c r="R20" s="24"/>
      <c r="S20" s="24"/>
      <c r="T20" s="24"/>
      <c r="U20" s="24"/>
      <c r="V20" s="24"/>
    </row>
    <row r="21" spans="1:22" ht="15" customHeight="1" x14ac:dyDescent="0.2">
      <c r="A21" s="184">
        <f>+'Vertical Distribution'!C27</f>
        <v>2</v>
      </c>
      <c r="B21" s="185">
        <f>IF(A21="Ground","—",IF(A21="","",'Vertical Distribution'!F27))</f>
        <v>559.8605</v>
      </c>
      <c r="C21" s="181">
        <f t="shared" si="0"/>
        <v>2100.8365000000003</v>
      </c>
      <c r="D21" s="185">
        <f ca="1">IF(A21="Ground","—",IF(A21="","",'Vertical Distribution'!I27))</f>
        <v>25.628708855589242</v>
      </c>
      <c r="E21" s="181">
        <f t="shared" ca="1" si="1"/>
        <v>218.87320516334364</v>
      </c>
      <c r="F21" s="230">
        <f t="shared" ca="1" si="2"/>
        <v>0.10418383589743591</v>
      </c>
      <c r="G21" s="185">
        <f t="shared" ca="1" si="3"/>
        <v>58.328414457456418</v>
      </c>
      <c r="H21" s="185">
        <f t="shared" ca="1" si="4"/>
        <v>75.826938794693334</v>
      </c>
      <c r="I21" s="185">
        <f t="shared" ca="1" si="5"/>
        <v>151.65387758938667</v>
      </c>
      <c r="J21" s="186">
        <f t="shared" ca="1" si="6"/>
        <v>75.826938794693334</v>
      </c>
      <c r="K21" s="297">
        <f t="shared" ca="1" si="7"/>
        <v>0.13543898666666668</v>
      </c>
      <c r="L21" s="24"/>
      <c r="M21" s="363"/>
      <c r="N21" s="24"/>
      <c r="O21" s="24"/>
      <c r="P21" s="24"/>
      <c r="Q21" s="24"/>
      <c r="R21" s="24"/>
      <c r="S21" s="24"/>
      <c r="T21" s="24"/>
      <c r="U21" s="24"/>
      <c r="V21" s="24"/>
    </row>
    <row r="22" spans="1:22" ht="15" customHeight="1" x14ac:dyDescent="0.2">
      <c r="A22" s="184" t="str">
        <f>+'Vertical Distribution'!C28</f>
        <v>Ground</v>
      </c>
      <c r="B22" s="185" t="str">
        <f>IF(A22="Ground","—",IF(A22="","",'Vertical Distribution'!F28))</f>
        <v>—</v>
      </c>
      <c r="C22" s="181" t="str">
        <f t="shared" si="0"/>
        <v>—</v>
      </c>
      <c r="D22" s="185" t="str">
        <f>IF(A22="Ground","—",IF(A22="","",'Vertical Distribution'!I28))</f>
        <v>—</v>
      </c>
      <c r="E22" s="181" t="str">
        <f t="shared" si="1"/>
        <v>—</v>
      </c>
      <c r="F22" s="230" t="str">
        <f t="shared" si="2"/>
        <v>—</v>
      </c>
      <c r="G22" s="185" t="str">
        <f t="shared" si="3"/>
        <v>—</v>
      </c>
      <c r="H22" s="185" t="str">
        <f t="shared" si="4"/>
        <v>—</v>
      </c>
      <c r="I22" s="185" t="str">
        <f t="shared" si="5"/>
        <v>—</v>
      </c>
      <c r="J22" s="186" t="str">
        <f t="shared" si="6"/>
        <v>—</v>
      </c>
      <c r="K22" s="297" t="str">
        <f t="shared" si="7"/>
        <v>—</v>
      </c>
      <c r="L22" s="24"/>
      <c r="M22" s="363"/>
      <c r="N22" s="24"/>
      <c r="O22" s="24"/>
      <c r="P22" s="24"/>
      <c r="Q22" s="24"/>
      <c r="R22" s="24"/>
      <c r="S22" s="24"/>
      <c r="T22" s="24"/>
      <c r="U22" s="24"/>
      <c r="V22" s="24"/>
    </row>
    <row r="23" spans="1:22" ht="15" customHeight="1" x14ac:dyDescent="0.2">
      <c r="A23" s="184" t="str">
        <f>+'Vertical Distribution'!C29</f>
        <v/>
      </c>
      <c r="B23" s="185" t="str">
        <f>IF(A23="Ground","—",IF(A23="","",'Vertical Distribution'!F29))</f>
        <v/>
      </c>
      <c r="C23" s="181" t="str">
        <f t="shared" si="0"/>
        <v/>
      </c>
      <c r="D23" s="185" t="str">
        <f>IF(A23="Ground","—",IF(A23="","",'Vertical Distribution'!I29))</f>
        <v/>
      </c>
      <c r="E23" s="181" t="str">
        <f t="shared" si="1"/>
        <v/>
      </c>
      <c r="F23" s="230" t="str">
        <f t="shared" si="2"/>
        <v/>
      </c>
      <c r="G23" s="185" t="str">
        <f t="shared" si="3"/>
        <v/>
      </c>
      <c r="H23" s="185" t="str">
        <f t="shared" si="4"/>
        <v/>
      </c>
      <c r="I23" s="185" t="str">
        <f t="shared" si="5"/>
        <v/>
      </c>
      <c r="J23" s="186" t="str">
        <f t="shared" si="6"/>
        <v/>
      </c>
      <c r="K23" s="297" t="str">
        <f t="shared" si="7"/>
        <v/>
      </c>
      <c r="L23" s="24"/>
      <c r="M23" s="363"/>
      <c r="N23" s="24"/>
      <c r="O23" s="24"/>
      <c r="P23" s="24"/>
      <c r="Q23" s="24"/>
      <c r="R23" s="24"/>
      <c r="S23" s="24"/>
      <c r="T23" s="24"/>
      <c r="U23" s="24"/>
      <c r="V23" s="24"/>
    </row>
    <row r="24" spans="1:22" ht="15" customHeight="1" x14ac:dyDescent="0.2">
      <c r="A24" s="184" t="str">
        <f>+'Vertical Distribution'!C30</f>
        <v/>
      </c>
      <c r="B24" s="185" t="str">
        <f>IF(A24="Ground","—",IF(A24="","",'Vertical Distribution'!F30))</f>
        <v/>
      </c>
      <c r="C24" s="181" t="str">
        <f t="shared" si="0"/>
        <v/>
      </c>
      <c r="D24" s="185" t="str">
        <f>IF(A24="Ground","—",IF(A24="","",'Vertical Distribution'!I30))</f>
        <v/>
      </c>
      <c r="E24" s="181" t="str">
        <f t="shared" si="1"/>
        <v/>
      </c>
      <c r="F24" s="230" t="str">
        <f t="shared" si="2"/>
        <v/>
      </c>
      <c r="G24" s="185" t="str">
        <f t="shared" si="3"/>
        <v/>
      </c>
      <c r="H24" s="185" t="str">
        <f t="shared" si="4"/>
        <v/>
      </c>
      <c r="I24" s="185" t="str">
        <f t="shared" si="5"/>
        <v/>
      </c>
      <c r="J24" s="186" t="str">
        <f t="shared" si="6"/>
        <v/>
      </c>
      <c r="K24" s="297" t="str">
        <f t="shared" si="7"/>
        <v/>
      </c>
      <c r="L24" s="24"/>
      <c r="M24" s="363"/>
      <c r="N24" s="24"/>
      <c r="O24" s="24"/>
      <c r="P24" s="24"/>
      <c r="Q24" s="24"/>
      <c r="R24" s="24"/>
      <c r="S24" s="24"/>
      <c r="T24" s="24"/>
      <c r="U24" s="24"/>
      <c r="V24" s="24"/>
    </row>
    <row r="25" spans="1:22" ht="15" customHeight="1" x14ac:dyDescent="0.2">
      <c r="A25" s="184" t="str">
        <f>+'Vertical Distribution'!C31</f>
        <v/>
      </c>
      <c r="B25" s="185" t="str">
        <f>IF(A25="Ground","—",IF(A25="","",'Vertical Distribution'!F31))</f>
        <v/>
      </c>
      <c r="C25" s="181" t="str">
        <f t="shared" si="0"/>
        <v/>
      </c>
      <c r="D25" s="185" t="str">
        <f>IF(A25="Ground","—",IF(A25="","",'Vertical Distribution'!I31))</f>
        <v/>
      </c>
      <c r="E25" s="181" t="str">
        <f t="shared" si="1"/>
        <v/>
      </c>
      <c r="F25" s="230" t="str">
        <f t="shared" si="2"/>
        <v/>
      </c>
      <c r="G25" s="185" t="str">
        <f t="shared" si="3"/>
        <v/>
      </c>
      <c r="H25" s="185" t="str">
        <f t="shared" si="4"/>
        <v/>
      </c>
      <c r="I25" s="185" t="str">
        <f t="shared" si="5"/>
        <v/>
      </c>
      <c r="J25" s="186" t="str">
        <f t="shared" si="6"/>
        <v/>
      </c>
      <c r="K25" s="297" t="str">
        <f t="shared" si="7"/>
        <v/>
      </c>
      <c r="L25" s="24"/>
      <c r="M25" s="363"/>
      <c r="N25" s="24"/>
      <c r="O25" s="24"/>
      <c r="P25" s="24"/>
      <c r="Q25" s="24"/>
      <c r="R25" s="24"/>
      <c r="S25" s="24"/>
      <c r="T25" s="24"/>
      <c r="U25" s="24"/>
      <c r="V25" s="24"/>
    </row>
    <row r="26" spans="1:22" ht="15" customHeight="1" x14ac:dyDescent="0.2">
      <c r="A26" s="184" t="str">
        <f>+'Vertical Distribution'!C32</f>
        <v/>
      </c>
      <c r="B26" s="185" t="str">
        <f>IF(A26="Ground","—",IF(A26="","",'Vertical Distribution'!F32))</f>
        <v/>
      </c>
      <c r="C26" s="181" t="str">
        <f t="shared" si="0"/>
        <v/>
      </c>
      <c r="D26" s="185" t="str">
        <f>IF(A26="Ground","—",IF(A26="","",'Vertical Distribution'!I32))</f>
        <v/>
      </c>
      <c r="E26" s="181" t="str">
        <f t="shared" si="1"/>
        <v/>
      </c>
      <c r="F26" s="230" t="str">
        <f t="shared" si="2"/>
        <v/>
      </c>
      <c r="G26" s="185" t="str">
        <f t="shared" si="3"/>
        <v/>
      </c>
      <c r="H26" s="185" t="str">
        <f t="shared" si="4"/>
        <v/>
      </c>
      <c r="I26" s="185" t="str">
        <f t="shared" si="5"/>
        <v/>
      </c>
      <c r="J26" s="186" t="str">
        <f t="shared" si="6"/>
        <v/>
      </c>
      <c r="K26" s="297" t="str">
        <f t="shared" si="7"/>
        <v/>
      </c>
      <c r="L26" s="24"/>
      <c r="M26" s="363"/>
      <c r="N26" s="24"/>
      <c r="O26" s="24"/>
      <c r="P26" s="24"/>
      <c r="Q26" s="24"/>
      <c r="R26" s="24"/>
      <c r="S26" s="24"/>
      <c r="T26" s="24"/>
      <c r="U26" s="24"/>
      <c r="V26" s="24"/>
    </row>
    <row r="27" spans="1:22" ht="15" customHeight="1" x14ac:dyDescent="0.2">
      <c r="A27" s="184" t="str">
        <f>+'Vertical Distribution'!C33</f>
        <v/>
      </c>
      <c r="B27" s="185" t="str">
        <f>IF(A27="Ground","—",IF(A27="","",'Vertical Distribution'!F33))</f>
        <v/>
      </c>
      <c r="C27" s="181" t="str">
        <f t="shared" si="0"/>
        <v/>
      </c>
      <c r="D27" s="185" t="str">
        <f>IF(A27="Ground","—",IF(A27="","",'Vertical Distribution'!I33))</f>
        <v/>
      </c>
      <c r="E27" s="181" t="str">
        <f t="shared" si="1"/>
        <v/>
      </c>
      <c r="F27" s="230" t="str">
        <f t="shared" si="2"/>
        <v/>
      </c>
      <c r="G27" s="185" t="str">
        <f t="shared" si="3"/>
        <v/>
      </c>
      <c r="H27" s="185" t="str">
        <f t="shared" si="4"/>
        <v/>
      </c>
      <c r="I27" s="185" t="str">
        <f t="shared" si="5"/>
        <v/>
      </c>
      <c r="J27" s="186" t="str">
        <f t="shared" si="6"/>
        <v/>
      </c>
      <c r="K27" s="297" t="str">
        <f t="shared" si="7"/>
        <v/>
      </c>
      <c r="L27" s="24"/>
      <c r="M27" s="363"/>
      <c r="N27" s="24"/>
      <c r="O27" s="24"/>
      <c r="P27" s="24"/>
      <c r="Q27" s="24"/>
      <c r="R27" s="24"/>
      <c r="S27" s="24"/>
      <c r="T27" s="24"/>
      <c r="U27" s="24"/>
      <c r="V27" s="24"/>
    </row>
    <row r="28" spans="1:22" ht="15" customHeight="1" x14ac:dyDescent="0.2">
      <c r="A28" s="184" t="str">
        <f>+'Vertical Distribution'!C34</f>
        <v/>
      </c>
      <c r="B28" s="185" t="str">
        <f>IF(A28="Ground","—",IF(A28="","",'Vertical Distribution'!F34))</f>
        <v/>
      </c>
      <c r="C28" s="181" t="str">
        <f t="shared" si="0"/>
        <v/>
      </c>
      <c r="D28" s="185" t="str">
        <f>IF(A28="Ground","—",IF(A28="","",'Vertical Distribution'!I34))</f>
        <v/>
      </c>
      <c r="E28" s="181" t="str">
        <f t="shared" si="1"/>
        <v/>
      </c>
      <c r="F28" s="230" t="str">
        <f t="shared" si="2"/>
        <v/>
      </c>
      <c r="G28" s="185" t="str">
        <f t="shared" si="3"/>
        <v/>
      </c>
      <c r="H28" s="185" t="str">
        <f t="shared" si="4"/>
        <v/>
      </c>
      <c r="I28" s="185" t="str">
        <f t="shared" si="5"/>
        <v/>
      </c>
      <c r="J28" s="186" t="str">
        <f t="shared" si="6"/>
        <v/>
      </c>
      <c r="K28" s="297" t="str">
        <f t="shared" si="7"/>
        <v/>
      </c>
      <c r="L28" s="24"/>
      <c r="M28" s="363"/>
      <c r="N28" s="24"/>
      <c r="O28" s="24"/>
      <c r="P28" s="24"/>
      <c r="Q28" s="24"/>
      <c r="R28" s="24"/>
      <c r="S28" s="24"/>
      <c r="T28" s="24"/>
      <c r="U28" s="24"/>
      <c r="V28" s="24"/>
    </row>
    <row r="29" spans="1:22" ht="15" customHeight="1" x14ac:dyDescent="0.2">
      <c r="A29" s="184" t="str">
        <f>+'Vertical Distribution'!C35</f>
        <v/>
      </c>
      <c r="B29" s="185" t="str">
        <f>IF(A29="Ground","—",IF(A29="","",'Vertical Distribution'!F35))</f>
        <v/>
      </c>
      <c r="C29" s="181" t="str">
        <f t="shared" si="0"/>
        <v/>
      </c>
      <c r="D29" s="185" t="str">
        <f>IF(A29="Ground","—",IF(A29="","",'Vertical Distribution'!I35))</f>
        <v/>
      </c>
      <c r="E29" s="181" t="str">
        <f t="shared" si="1"/>
        <v/>
      </c>
      <c r="F29" s="230" t="str">
        <f t="shared" si="2"/>
        <v/>
      </c>
      <c r="G29" s="185" t="str">
        <f t="shared" si="3"/>
        <v/>
      </c>
      <c r="H29" s="185" t="str">
        <f t="shared" si="4"/>
        <v/>
      </c>
      <c r="I29" s="185" t="str">
        <f t="shared" si="5"/>
        <v/>
      </c>
      <c r="J29" s="186" t="str">
        <f t="shared" si="6"/>
        <v/>
      </c>
      <c r="K29" s="297" t="str">
        <f t="shared" si="7"/>
        <v/>
      </c>
      <c r="L29" s="24"/>
      <c r="M29" s="363"/>
      <c r="N29" s="24"/>
      <c r="O29" s="24"/>
      <c r="P29" s="24"/>
      <c r="Q29" s="24"/>
      <c r="R29" s="24"/>
      <c r="S29" s="24"/>
      <c r="T29" s="24"/>
      <c r="U29" s="24"/>
      <c r="V29" s="24"/>
    </row>
    <row r="30" spans="1:22" ht="15" customHeight="1" x14ac:dyDescent="0.2">
      <c r="A30" s="291" t="str">
        <f>+'Vertical Distribution'!C36</f>
        <v/>
      </c>
      <c r="B30" s="294" t="str">
        <f>IF(A30="Ground","—",IF(A30="","",'Vertical Distribution'!F36))</f>
        <v/>
      </c>
      <c r="C30" s="252" t="str">
        <f t="shared" si="0"/>
        <v/>
      </c>
      <c r="D30" s="294" t="str">
        <f>IF(A30="Ground","—",IF(A30="","",'Vertical Distribution'!I36))</f>
        <v/>
      </c>
      <c r="E30" s="252" t="str">
        <f t="shared" si="1"/>
        <v/>
      </c>
      <c r="F30" s="266" t="str">
        <f t="shared" si="2"/>
        <v/>
      </c>
      <c r="G30" s="294" t="str">
        <f t="shared" si="3"/>
        <v/>
      </c>
      <c r="H30" s="294" t="str">
        <f t="shared" si="4"/>
        <v/>
      </c>
      <c r="I30" s="294" t="str">
        <f t="shared" si="5"/>
        <v/>
      </c>
      <c r="J30" s="295" t="str">
        <f t="shared" si="6"/>
        <v/>
      </c>
      <c r="K30" s="298" t="str">
        <f t="shared" si="7"/>
        <v/>
      </c>
      <c r="L30" s="24"/>
      <c r="M30" s="363"/>
      <c r="N30" s="24"/>
      <c r="O30" s="24"/>
      <c r="P30" s="24"/>
      <c r="Q30" s="24"/>
      <c r="R30" s="24"/>
      <c r="S30" s="24"/>
      <c r="T30" s="24"/>
      <c r="U30" s="24"/>
      <c r="V30" s="24"/>
    </row>
    <row r="31" spans="1:22" ht="15" customHeight="1" x14ac:dyDescent="0.2">
      <c r="A31" s="184"/>
      <c r="B31" s="10"/>
      <c r="C31" s="10"/>
      <c r="D31" s="10"/>
      <c r="E31" s="10"/>
      <c r="F31" s="10"/>
      <c r="G31" s="10"/>
      <c r="H31" s="10"/>
      <c r="I31" s="10"/>
      <c r="J31" s="10"/>
      <c r="K31" s="179"/>
      <c r="L31" s="24"/>
      <c r="M31" s="293"/>
      <c r="N31" s="24"/>
      <c r="O31" s="24"/>
      <c r="P31" s="24"/>
      <c r="Q31" s="24"/>
      <c r="R31" s="24"/>
      <c r="S31" s="24"/>
      <c r="T31" s="24"/>
      <c r="U31" s="24"/>
      <c r="V31" s="24"/>
    </row>
    <row r="32" spans="1:22" ht="15" customHeight="1" x14ac:dyDescent="0.3">
      <c r="A32" s="97"/>
      <c r="B32" s="10" t="s">
        <v>100</v>
      </c>
      <c r="C32" s="10"/>
      <c r="D32" s="10"/>
      <c r="E32" s="10"/>
      <c r="F32" s="10"/>
      <c r="G32" s="10"/>
      <c r="H32" s="10"/>
      <c r="I32" s="10"/>
      <c r="J32" s="10"/>
      <c r="K32" s="179"/>
      <c r="L32" s="24"/>
      <c r="M32" s="293"/>
      <c r="N32" s="24"/>
      <c r="O32" s="24"/>
      <c r="P32" s="24"/>
      <c r="Q32" s="24"/>
      <c r="R32" s="24"/>
      <c r="S32" s="24"/>
      <c r="T32" s="24"/>
      <c r="U32" s="24"/>
      <c r="V32" s="24"/>
    </row>
    <row r="33" spans="1:22" ht="15" customHeight="1" x14ac:dyDescent="0.2">
      <c r="A33" s="97"/>
      <c r="B33" s="10"/>
      <c r="C33" s="10"/>
      <c r="D33" s="10"/>
      <c r="E33" s="10"/>
      <c r="F33" s="10"/>
      <c r="G33" s="10"/>
      <c r="H33" s="10"/>
      <c r="I33" s="10"/>
      <c r="J33" s="10"/>
      <c r="K33" s="179"/>
      <c r="L33" s="24"/>
      <c r="M33" s="293"/>
      <c r="N33" s="24"/>
      <c r="O33" s="24"/>
      <c r="P33" s="24"/>
      <c r="Q33" s="24"/>
      <c r="R33" s="24"/>
      <c r="S33" s="24"/>
      <c r="T33" s="24"/>
      <c r="U33" s="24"/>
      <c r="V33" s="24"/>
    </row>
    <row r="34" spans="1:22" ht="15" customHeight="1" x14ac:dyDescent="0.3">
      <c r="A34" s="97"/>
      <c r="B34" s="10" t="s">
        <v>101</v>
      </c>
      <c r="C34" s="10"/>
      <c r="D34" s="10"/>
      <c r="E34" s="10"/>
      <c r="F34" s="10"/>
      <c r="G34" s="10"/>
      <c r="H34" s="10"/>
      <c r="I34" s="10"/>
      <c r="J34" s="10"/>
      <c r="K34" s="179"/>
      <c r="L34" s="24"/>
      <c r="M34" s="293"/>
      <c r="N34" s="24"/>
      <c r="O34" s="24"/>
      <c r="P34" s="24"/>
      <c r="Q34" s="24"/>
      <c r="R34" s="24"/>
      <c r="S34" s="24"/>
      <c r="T34" s="24"/>
      <c r="U34" s="24"/>
      <c r="V34" s="24"/>
    </row>
    <row r="35" spans="1:22" ht="15" customHeight="1" x14ac:dyDescent="0.2">
      <c r="A35" s="97"/>
      <c r="B35" s="10"/>
      <c r="C35" s="10"/>
      <c r="D35" s="10"/>
      <c r="E35" s="10"/>
      <c r="F35" s="10"/>
      <c r="G35" s="10"/>
      <c r="H35" s="10"/>
      <c r="I35" s="10"/>
      <c r="J35" s="10"/>
      <c r="K35" s="179"/>
      <c r="L35" s="24"/>
      <c r="M35" s="293"/>
      <c r="N35" s="24"/>
      <c r="O35" s="24"/>
      <c r="P35" s="24"/>
      <c r="Q35" s="24"/>
      <c r="R35" s="24"/>
      <c r="S35" s="24"/>
      <c r="T35" s="24"/>
      <c r="U35" s="24"/>
      <c r="V35" s="24"/>
    </row>
    <row r="36" spans="1:22" ht="15" customHeight="1" x14ac:dyDescent="0.2">
      <c r="A36" s="97"/>
      <c r="B36" s="10" t="s">
        <v>104</v>
      </c>
      <c r="C36" s="10"/>
      <c r="D36" s="10"/>
      <c r="E36" s="10"/>
      <c r="F36" s="10"/>
      <c r="G36" s="10"/>
      <c r="H36" s="10"/>
      <c r="I36" s="10"/>
      <c r="J36" s="10"/>
      <c r="K36" s="179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</row>
    <row r="37" spans="1:22" ht="15" customHeight="1" x14ac:dyDescent="0.2">
      <c r="A37" s="97"/>
      <c r="B37" s="10" t="s">
        <v>105</v>
      </c>
      <c r="C37" s="10"/>
      <c r="D37" s="10"/>
      <c r="E37" s="10"/>
      <c r="F37" s="10"/>
      <c r="G37" s="10"/>
      <c r="H37" s="10"/>
      <c r="I37" s="10"/>
      <c r="J37" s="10"/>
      <c r="K37" s="179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</row>
    <row r="38" spans="1:22" ht="15" customHeight="1" x14ac:dyDescent="0.2">
      <c r="A38" s="187"/>
      <c r="B38" s="4"/>
      <c r="C38" s="188"/>
      <c r="D38" s="188"/>
      <c r="E38" s="188"/>
      <c r="F38" s="188"/>
      <c r="G38" s="188"/>
      <c r="H38" s="188"/>
      <c r="I38" s="188"/>
      <c r="J38" s="188"/>
      <c r="K38" s="189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</row>
    <row r="39" spans="1:22" s="111" customFormat="1" ht="15" customHeight="1" x14ac:dyDescent="0.2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</row>
    <row r="40" spans="1:22" s="111" customFormat="1" ht="15" customHeight="1" x14ac:dyDescent="0.2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</row>
    <row r="41" spans="1:22" s="111" customFormat="1" ht="15" customHeight="1" x14ac:dyDescent="0.2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</row>
    <row r="42" spans="1:22" s="111" customFormat="1" ht="15" customHeight="1" x14ac:dyDescent="0.2"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</row>
    <row r="43" spans="1:22" s="111" customFormat="1" ht="15" customHeight="1" x14ac:dyDescent="0.2"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</row>
    <row r="44" spans="1:22" s="111" customFormat="1" ht="15" customHeight="1" x14ac:dyDescent="0.2"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</row>
    <row r="45" spans="1:22" s="111" customFormat="1" ht="15" customHeight="1" x14ac:dyDescent="0.2"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</row>
    <row r="46" spans="1:22" s="111" customFormat="1" ht="15" customHeight="1" x14ac:dyDescent="0.2"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</row>
    <row r="47" spans="1:22" s="111" customFormat="1" ht="15" customHeight="1" x14ac:dyDescent="0.2"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</row>
    <row r="48" spans="1:22" s="111" customFormat="1" ht="15" customHeight="1" x14ac:dyDescent="0.2"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</row>
    <row r="49" spans="12:22" s="111" customFormat="1" ht="15" customHeight="1" x14ac:dyDescent="0.2"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</row>
    <row r="50" spans="12:22" s="111" customFormat="1" ht="15" customHeight="1" x14ac:dyDescent="0.2"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</row>
    <row r="51" spans="12:22" s="111" customFormat="1" x14ac:dyDescent="0.2"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</row>
    <row r="52" spans="12:22" s="111" customFormat="1" x14ac:dyDescent="0.2"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</row>
    <row r="53" spans="12:22" s="111" customFormat="1" x14ac:dyDescent="0.2"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</row>
    <row r="54" spans="12:22" s="111" customFormat="1" x14ac:dyDescent="0.2"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</row>
    <row r="55" spans="12:22" s="111" customFormat="1" x14ac:dyDescent="0.2"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</row>
    <row r="56" spans="12:22" s="111" customFormat="1" x14ac:dyDescent="0.2"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</row>
    <row r="57" spans="12:22" s="111" customFormat="1" x14ac:dyDescent="0.2"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</row>
    <row r="58" spans="12:22" s="111" customFormat="1" x14ac:dyDescent="0.2"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</row>
    <row r="59" spans="12:22" s="111" customFormat="1" x14ac:dyDescent="0.2"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</row>
    <row r="60" spans="12:22" s="111" customFormat="1" x14ac:dyDescent="0.2"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</row>
    <row r="61" spans="12:22" s="111" customFormat="1" x14ac:dyDescent="0.2"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</row>
    <row r="62" spans="12:22" s="111" customFormat="1" x14ac:dyDescent="0.2"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</row>
    <row r="63" spans="12:22" s="111" customFormat="1" x14ac:dyDescent="0.2"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</row>
    <row r="64" spans="12:22" s="111" customFormat="1" x14ac:dyDescent="0.2"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</row>
    <row r="65" spans="12:22" s="111" customFormat="1" x14ac:dyDescent="0.2"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</row>
    <row r="66" spans="12:22" s="111" customFormat="1" x14ac:dyDescent="0.2"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</row>
    <row r="67" spans="12:22" s="111" customFormat="1" x14ac:dyDescent="0.2"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</row>
    <row r="68" spans="12:22" s="111" customFormat="1" x14ac:dyDescent="0.2"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</row>
    <row r="69" spans="12:22" s="111" customFormat="1" x14ac:dyDescent="0.2"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</row>
    <row r="70" spans="12:22" s="111" customFormat="1" x14ac:dyDescent="0.2"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</row>
    <row r="71" spans="12:22" s="111" customFormat="1" x14ac:dyDescent="0.2"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</row>
    <row r="72" spans="12:22" s="111" customFormat="1" x14ac:dyDescent="0.2"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</row>
    <row r="73" spans="12:22" s="111" customFormat="1" x14ac:dyDescent="0.2"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</row>
    <row r="74" spans="12:22" s="111" customFormat="1" x14ac:dyDescent="0.2"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</row>
    <row r="75" spans="12:22" s="111" customFormat="1" x14ac:dyDescent="0.2"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</row>
    <row r="76" spans="12:22" s="111" customFormat="1" x14ac:dyDescent="0.2"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</row>
    <row r="77" spans="12:22" s="111" customFormat="1" x14ac:dyDescent="0.2"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</row>
    <row r="78" spans="12:22" s="111" customFormat="1" x14ac:dyDescent="0.2"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</row>
    <row r="79" spans="12:22" s="111" customFormat="1" x14ac:dyDescent="0.2"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</row>
    <row r="80" spans="12:22" s="111" customFormat="1" x14ac:dyDescent="0.2"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</row>
    <row r="81" spans="12:22" s="111" customFormat="1" x14ac:dyDescent="0.2"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</row>
    <row r="82" spans="12:22" s="111" customFormat="1" x14ac:dyDescent="0.2"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</row>
    <row r="83" spans="12:22" s="111" customFormat="1" x14ac:dyDescent="0.2"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</row>
    <row r="84" spans="12:22" s="111" customFormat="1" x14ac:dyDescent="0.2"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</row>
    <row r="85" spans="12:22" s="111" customFormat="1" x14ac:dyDescent="0.2"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</row>
    <row r="86" spans="12:22" s="111" customFormat="1" x14ac:dyDescent="0.2"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</row>
    <row r="87" spans="12:22" s="111" customFormat="1" x14ac:dyDescent="0.2"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</row>
    <row r="88" spans="12:22" s="111" customFormat="1" x14ac:dyDescent="0.2"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</row>
    <row r="89" spans="12:22" s="111" customFormat="1" x14ac:dyDescent="0.2"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</row>
    <row r="90" spans="12:22" s="111" customFormat="1" x14ac:dyDescent="0.2"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</row>
    <row r="91" spans="12:22" s="111" customFormat="1" x14ac:dyDescent="0.2"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</row>
    <row r="92" spans="12:22" s="111" customFormat="1" x14ac:dyDescent="0.2"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</row>
    <row r="93" spans="12:22" s="111" customFormat="1" x14ac:dyDescent="0.2"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</row>
    <row r="94" spans="12:22" s="111" customFormat="1" x14ac:dyDescent="0.2"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</row>
    <row r="95" spans="12:22" s="111" customFormat="1" x14ac:dyDescent="0.2"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</row>
    <row r="96" spans="12:22" s="111" customFormat="1" x14ac:dyDescent="0.2"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</row>
    <row r="97" spans="12:22" s="111" customFormat="1" x14ac:dyDescent="0.2"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</row>
    <row r="98" spans="12:22" s="111" customFormat="1" x14ac:dyDescent="0.2"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</row>
    <row r="99" spans="12:22" s="111" customFormat="1" x14ac:dyDescent="0.2"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</row>
    <row r="100" spans="12:22" s="111" customFormat="1" x14ac:dyDescent="0.2"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</row>
    <row r="101" spans="12:22" s="111" customFormat="1" x14ac:dyDescent="0.2"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</row>
    <row r="102" spans="12:22" s="111" customFormat="1" x14ac:dyDescent="0.2"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</row>
    <row r="103" spans="12:22" s="111" customFormat="1" x14ac:dyDescent="0.2"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</row>
    <row r="104" spans="12:22" s="111" customFormat="1" x14ac:dyDescent="0.2"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</row>
    <row r="105" spans="12:22" s="111" customFormat="1" x14ac:dyDescent="0.2"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</row>
    <row r="106" spans="12:22" s="111" customFormat="1" x14ac:dyDescent="0.2"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</row>
    <row r="107" spans="12:22" s="111" customFormat="1" x14ac:dyDescent="0.2"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</row>
    <row r="108" spans="12:22" s="111" customFormat="1" x14ac:dyDescent="0.2">
      <c r="L108" s="27"/>
      <c r="M108" s="27"/>
      <c r="N108" s="27"/>
      <c r="O108" s="27"/>
      <c r="P108" s="27"/>
      <c r="Q108" s="27"/>
      <c r="R108" s="27"/>
      <c r="S108" s="27"/>
      <c r="T108" s="27"/>
      <c r="U108" s="27"/>
      <c r="V108" s="27"/>
    </row>
    <row r="109" spans="12:22" s="111" customFormat="1" x14ac:dyDescent="0.2">
      <c r="L109" s="27"/>
      <c r="M109" s="27"/>
      <c r="N109" s="27"/>
      <c r="O109" s="27"/>
      <c r="P109" s="27"/>
      <c r="Q109" s="27"/>
      <c r="R109" s="27"/>
      <c r="S109" s="27"/>
      <c r="T109" s="27"/>
      <c r="U109" s="27"/>
      <c r="V109" s="27"/>
    </row>
    <row r="110" spans="12:22" s="111" customFormat="1" x14ac:dyDescent="0.2">
      <c r="L110" s="27"/>
      <c r="M110" s="27"/>
      <c r="N110" s="27"/>
      <c r="O110" s="27"/>
      <c r="P110" s="27"/>
      <c r="Q110" s="27"/>
      <c r="R110" s="27"/>
      <c r="S110" s="27"/>
      <c r="T110" s="27"/>
      <c r="U110" s="27"/>
      <c r="V110" s="27"/>
    </row>
    <row r="111" spans="12:22" s="111" customFormat="1" x14ac:dyDescent="0.2">
      <c r="L111" s="27"/>
      <c r="M111" s="27"/>
      <c r="N111" s="27"/>
      <c r="O111" s="27"/>
      <c r="P111" s="27"/>
      <c r="Q111" s="27"/>
      <c r="R111" s="27"/>
      <c r="S111" s="27"/>
      <c r="T111" s="27"/>
      <c r="U111" s="27"/>
      <c r="V111" s="27"/>
    </row>
  </sheetData>
  <mergeCells count="6">
    <mergeCell ref="M18:M30"/>
    <mergeCell ref="D4:H4"/>
    <mergeCell ref="D3:H3"/>
    <mergeCell ref="D2:H2"/>
    <mergeCell ref="D1:H1"/>
    <mergeCell ref="M6:N6"/>
  </mergeCells>
  <phoneticPr fontId="0" type="noConversion"/>
  <pageMargins left="0.7" right="0.7" top="0.75" bottom="0.75" header="0.3" footer="0.3"/>
  <pageSetup scale="72" orientation="portrait" r:id="rId1"/>
  <headerFooter alignWithMargins="0"/>
  <ignoredErrors>
    <ignoredError sqref="D18" formula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46</vt:i4>
      </vt:variant>
    </vt:vector>
  </HeadingPairs>
  <TitlesOfParts>
    <vt:vector size="51" baseType="lpstr">
      <vt:lpstr>Site Ground Motions</vt:lpstr>
      <vt:lpstr>Site Coefficients</vt:lpstr>
      <vt:lpstr>Equivalent Lateral Forces</vt:lpstr>
      <vt:lpstr>Vertical Distribution</vt:lpstr>
      <vt:lpstr>Diaphragm Forces</vt:lpstr>
      <vt:lpstr>FaAx</vt:lpstr>
      <vt:lpstr>FaAy</vt:lpstr>
      <vt:lpstr>FaBx</vt:lpstr>
      <vt:lpstr>FaBy</vt:lpstr>
      <vt:lpstr>FaCx</vt:lpstr>
      <vt:lpstr>FaCy</vt:lpstr>
      <vt:lpstr>FaDx</vt:lpstr>
      <vt:lpstr>FaDy</vt:lpstr>
      <vt:lpstr>FaEx</vt:lpstr>
      <vt:lpstr>FaEy</vt:lpstr>
      <vt:lpstr>FvAx</vt:lpstr>
      <vt:lpstr>FvAy</vt:lpstr>
      <vt:lpstr>FvBx</vt:lpstr>
      <vt:lpstr>FvBy</vt:lpstr>
      <vt:lpstr>FvCx</vt:lpstr>
      <vt:lpstr>FvCy</vt:lpstr>
      <vt:lpstr>FvDx</vt:lpstr>
      <vt:lpstr>FvDy</vt:lpstr>
      <vt:lpstr>FvEx</vt:lpstr>
      <vt:lpstr>FvEy</vt:lpstr>
      <vt:lpstr>MatchFaA</vt:lpstr>
      <vt:lpstr>MatchFaB</vt:lpstr>
      <vt:lpstr>MatchFaC</vt:lpstr>
      <vt:lpstr>MatchFaD</vt:lpstr>
      <vt:lpstr>MatchFaE</vt:lpstr>
      <vt:lpstr>MatchFvA</vt:lpstr>
      <vt:lpstr>MatchFvB</vt:lpstr>
      <vt:lpstr>MatchFvC</vt:lpstr>
      <vt:lpstr>MatchFvD</vt:lpstr>
      <vt:lpstr>MatchFvE</vt:lpstr>
      <vt:lpstr>'Diaphragm Forces'!Print_Area</vt:lpstr>
      <vt:lpstr>'Equivalent Lateral Forces'!Print_Area</vt:lpstr>
      <vt:lpstr>'Site Coefficients'!Print_Area</vt:lpstr>
      <vt:lpstr>'Site Ground Motions'!Print_Area</vt:lpstr>
      <vt:lpstr>'Vertical Distribution'!Print_Area</vt:lpstr>
      <vt:lpstr>SiteClass</vt:lpstr>
      <vt:lpstr>TargetFaA</vt:lpstr>
      <vt:lpstr>TargetFaB</vt:lpstr>
      <vt:lpstr>TargetFaC</vt:lpstr>
      <vt:lpstr>TargetFaD</vt:lpstr>
      <vt:lpstr>TargetFaE</vt:lpstr>
      <vt:lpstr>TargetFvA</vt:lpstr>
      <vt:lpstr>TargetFvB</vt:lpstr>
      <vt:lpstr>TargetFvC</vt:lpstr>
      <vt:lpstr>TargetFvD</vt:lpstr>
      <vt:lpstr>TargetFvE</vt:lpstr>
    </vt:vector>
  </TitlesOfParts>
  <Company>KPFF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Tobin</dc:creator>
  <cp:lastModifiedBy>Andy Sazima</cp:lastModifiedBy>
  <cp:lastPrinted>2023-10-02T18:47:10Z</cp:lastPrinted>
  <dcterms:created xsi:type="dcterms:W3CDTF">2004-07-19T20:51:19Z</dcterms:created>
  <dcterms:modified xsi:type="dcterms:W3CDTF">2026-05-11T18:06:34Z</dcterms:modified>
</cp:coreProperties>
</file>